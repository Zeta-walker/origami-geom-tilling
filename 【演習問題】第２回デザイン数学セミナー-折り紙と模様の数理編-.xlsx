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7.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8.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328"/>
  <workbookPr defaultThemeVersion="166925"/>
  <mc:AlternateContent xmlns:mc="http://schemas.openxmlformats.org/markup-compatibility/2006">
    <mc:Choice Requires="x15">
      <x15ac:absPath xmlns:x15ac="http://schemas.microsoft.com/office/spreadsheetml/2010/11/ac" url="C:\Users\k.okamoto\Dropbox (和から株式会社)\集団講座\セミナー\【数学アート系】セミナー\数学アートセミナー（新）\デザイン数学セミナー-折り紙と模様の数理編-\"/>
    </mc:Choice>
  </mc:AlternateContent>
  <xr:revisionPtr revIDLastSave="0" documentId="13_ncr:1_{CAD8D6BA-6F83-4C84-B0EC-DD968896BC04}" xr6:coauthVersionLast="45" xr6:coauthVersionMax="45" xr10:uidLastSave="{00000000-0000-0000-0000-000000000000}"/>
  <bookViews>
    <workbookView xWindow="-108" yWindow="-108" windowWidth="23256" windowHeight="12576" xr2:uid="{FBBA5AD6-219E-4F5D-81C0-06263FC356BE}"/>
  </bookViews>
  <sheets>
    <sheet name="【演習問題１】形を描く" sheetId="1" r:id="rId1"/>
    <sheet name="（解答）【演習問題１】形を描く " sheetId="4" state="hidden" r:id="rId2"/>
    <sheet name="【演習問題２】タイリング" sheetId="2" r:id="rId3"/>
    <sheet name="（解答）【演習問題２】タイリング" sheetId="5" state="hidden" r:id="rId4"/>
    <sheet name="【演習問題３】万華鏡" sheetId="7" r:id="rId5"/>
    <sheet name="（解答）【演習問題３】万華鏡" sheetId="8" state="hidden" r:id="rId6"/>
    <sheet name="【付録】エッシャー化" sheetId="9" r:id="rId7"/>
    <sheet name="【付録】万華鏡" sheetId="6" r:id="rId8"/>
  </sheets>
  <externalReferences>
    <externalReference r:id="rId9"/>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1" i="9" l="1"/>
  <c r="E31" i="9"/>
  <c r="F30" i="9"/>
  <c r="E30" i="9"/>
  <c r="F29" i="9"/>
  <c r="F28" i="9"/>
  <c r="F27" i="9"/>
  <c r="F26" i="9"/>
  <c r="F25" i="9"/>
  <c r="E25" i="9"/>
  <c r="E24" i="9"/>
  <c r="E23" i="9"/>
  <c r="E22" i="9"/>
  <c r="E21" i="9"/>
  <c r="F20" i="9"/>
  <c r="E20" i="9"/>
  <c r="F19" i="9"/>
  <c r="F18" i="9"/>
  <c r="F17" i="9"/>
  <c r="F16" i="9"/>
  <c r="F15" i="9"/>
  <c r="E15" i="9"/>
  <c r="E14" i="9"/>
  <c r="E13" i="9"/>
  <c r="E12" i="9"/>
  <c r="E11" i="9"/>
  <c r="F10" i="9"/>
  <c r="E10" i="9"/>
  <c r="C32" i="9"/>
  <c r="E32" i="9" s="1"/>
  <c r="B32" i="9"/>
  <c r="F32" i="9" s="1"/>
  <c r="M10" i="9"/>
  <c r="C29" i="9" s="1"/>
  <c r="E29" i="9" s="1"/>
  <c r="L10" i="9"/>
  <c r="C28" i="9" s="1"/>
  <c r="E28" i="9" s="1"/>
  <c r="K10" i="9"/>
  <c r="C27" i="9" s="1"/>
  <c r="E27" i="9" s="1"/>
  <c r="J10" i="9"/>
  <c r="C26" i="9" s="1"/>
  <c r="E26" i="9" s="1"/>
  <c r="M9" i="9"/>
  <c r="C19" i="9" s="1"/>
  <c r="E19" i="9" s="1"/>
  <c r="L9" i="9"/>
  <c r="C18" i="9" s="1"/>
  <c r="E18" i="9" s="1"/>
  <c r="K9" i="9"/>
  <c r="C17" i="9" s="1"/>
  <c r="E17" i="9" s="1"/>
  <c r="J9" i="9"/>
  <c r="B11" i="9" s="1"/>
  <c r="F11" i="9" s="1"/>
  <c r="C33" i="9" l="1"/>
  <c r="B21" i="9"/>
  <c r="F21" i="9" s="1"/>
  <c r="B12" i="9"/>
  <c r="F12" i="9" s="1"/>
  <c r="B22" i="9"/>
  <c r="F22" i="9" s="1"/>
  <c r="C16" i="9"/>
  <c r="E16" i="9" s="1"/>
  <c r="B13" i="9"/>
  <c r="F13" i="9" s="1"/>
  <c r="B23" i="9"/>
  <c r="F23" i="9" s="1"/>
  <c r="B33" i="9"/>
  <c r="B14" i="9"/>
  <c r="F14" i="9" s="1"/>
  <c r="B24" i="9"/>
  <c r="F24" i="9" s="1"/>
  <c r="C34" i="9" l="1"/>
  <c r="E34" i="9" s="1"/>
  <c r="E33" i="9"/>
  <c r="F33" i="9"/>
  <c r="B34" i="9"/>
  <c r="F34" i="9" s="1"/>
  <c r="D21" i="8" l="1"/>
  <c r="C21" i="8"/>
  <c r="D20" i="8"/>
  <c r="C20" i="8"/>
  <c r="F20" i="8" s="1"/>
  <c r="D19" i="8"/>
  <c r="C19" i="8"/>
  <c r="D18" i="8"/>
  <c r="C18" i="8"/>
  <c r="F18" i="8" s="1"/>
  <c r="D17" i="8"/>
  <c r="C17" i="8"/>
  <c r="D16" i="8"/>
  <c r="C16" i="8"/>
  <c r="D15" i="8"/>
  <c r="C15" i="8"/>
  <c r="D14" i="8"/>
  <c r="C14" i="8"/>
  <c r="F14" i="8" s="1"/>
  <c r="D13" i="8"/>
  <c r="C13" i="8"/>
  <c r="D12" i="8"/>
  <c r="C12" i="8"/>
  <c r="I11" i="8"/>
  <c r="H11" i="8"/>
  <c r="D11" i="8"/>
  <c r="C11" i="8"/>
  <c r="I10" i="8"/>
  <c r="H10" i="8"/>
  <c r="F12" i="8" l="1"/>
  <c r="F11" i="8"/>
  <c r="F16" i="8"/>
  <c r="F13" i="8"/>
  <c r="F15" i="8"/>
  <c r="F17" i="8"/>
  <c r="F19" i="8"/>
  <c r="E11" i="8"/>
  <c r="F22" i="8" s="1"/>
  <c r="F21" i="8"/>
  <c r="E12" i="8"/>
  <c r="E13" i="8"/>
  <c r="E14" i="8"/>
  <c r="E15" i="8"/>
  <c r="E16" i="8"/>
  <c r="E17" i="8"/>
  <c r="E18" i="8"/>
  <c r="E19" i="8"/>
  <c r="E20" i="8"/>
  <c r="E21" i="8"/>
  <c r="D21" i="7"/>
  <c r="C21" i="7"/>
  <c r="D20" i="7"/>
  <c r="C20" i="7"/>
  <c r="D19" i="7"/>
  <c r="C19" i="7"/>
  <c r="D18" i="7"/>
  <c r="C18" i="7"/>
  <c r="D17" i="7"/>
  <c r="C17" i="7"/>
  <c r="D16" i="7"/>
  <c r="C16" i="7"/>
  <c r="D15" i="7"/>
  <c r="C15" i="7"/>
  <c r="D14" i="7"/>
  <c r="C14" i="7"/>
  <c r="D13" i="7"/>
  <c r="C13" i="7"/>
  <c r="D12" i="7"/>
  <c r="C12" i="7"/>
  <c r="D11" i="7"/>
  <c r="C11" i="7"/>
  <c r="I11" i="7"/>
  <c r="H11" i="7"/>
  <c r="I10" i="7"/>
  <c r="H10" i="7"/>
  <c r="C468" i="6"/>
  <c r="C402" i="6"/>
  <c r="C336" i="6"/>
  <c r="C271" i="6"/>
  <c r="C207" i="6"/>
  <c r="D18" i="6"/>
  <c r="C18" i="6"/>
  <c r="D17" i="6"/>
  <c r="C17" i="6"/>
  <c r="D16" i="6"/>
  <c r="C16" i="6"/>
  <c r="D15" i="6"/>
  <c r="C15" i="6"/>
  <c r="D14" i="6"/>
  <c r="C14" i="6"/>
  <c r="D13" i="6"/>
  <c r="C13" i="6"/>
  <c r="D12" i="6"/>
  <c r="C12" i="6"/>
  <c r="D11" i="6"/>
  <c r="C11" i="6"/>
  <c r="D10" i="6"/>
  <c r="C10" i="6"/>
  <c r="D9" i="6"/>
  <c r="C9" i="6"/>
  <c r="D8" i="6"/>
  <c r="C8" i="6"/>
  <c r="H8" i="6"/>
  <c r="G8" i="6"/>
  <c r="H7" i="6"/>
  <c r="G7" i="6"/>
  <c r="C24" i="5"/>
  <c r="C23" i="5"/>
  <c r="C22" i="5"/>
  <c r="B20" i="5"/>
  <c r="B19" i="5"/>
  <c r="B18" i="5"/>
  <c r="C16" i="5"/>
  <c r="C15" i="5"/>
  <c r="C14" i="5"/>
  <c r="B12" i="5"/>
  <c r="B11" i="5"/>
  <c r="B10" i="5"/>
  <c r="E22" i="8" l="1"/>
  <c r="E33" i="8" s="1"/>
  <c r="F32" i="8"/>
  <c r="E32" i="8"/>
  <c r="F28" i="8"/>
  <c r="E28" i="8"/>
  <c r="E24" i="8"/>
  <c r="F24" i="8"/>
  <c r="F29" i="8"/>
  <c r="E29" i="8"/>
  <c r="F31" i="8"/>
  <c r="E31" i="8"/>
  <c r="F27" i="8"/>
  <c r="E27" i="8"/>
  <c r="F23" i="8"/>
  <c r="E23" i="8"/>
  <c r="F25" i="8"/>
  <c r="E25" i="8"/>
  <c r="E30" i="8"/>
  <c r="F30" i="8"/>
  <c r="E26" i="8"/>
  <c r="F26" i="8"/>
  <c r="E11" i="7"/>
  <c r="F12" i="7"/>
  <c r="F14" i="7"/>
  <c r="F16" i="7"/>
  <c r="F18" i="7"/>
  <c r="F20" i="7"/>
  <c r="F11" i="7"/>
  <c r="F13" i="7"/>
  <c r="F15" i="7"/>
  <c r="F17" i="7"/>
  <c r="F19" i="7"/>
  <c r="F21" i="7"/>
  <c r="E12" i="7"/>
  <c r="E13" i="7"/>
  <c r="E14" i="7"/>
  <c r="E15" i="7"/>
  <c r="E16" i="7"/>
  <c r="E17" i="7"/>
  <c r="E18" i="7"/>
  <c r="E19" i="7"/>
  <c r="E20" i="7"/>
  <c r="E21" i="7"/>
  <c r="F9" i="6"/>
  <c r="E9" i="6"/>
  <c r="F11" i="6"/>
  <c r="E11" i="6"/>
  <c r="F13" i="6"/>
  <c r="E13" i="6"/>
  <c r="F15" i="6"/>
  <c r="E15" i="6"/>
  <c r="F17" i="6"/>
  <c r="E17" i="6"/>
  <c r="F8" i="6"/>
  <c r="E8" i="6"/>
  <c r="F10" i="6"/>
  <c r="E10" i="6"/>
  <c r="F12" i="6"/>
  <c r="E12" i="6"/>
  <c r="F14" i="6"/>
  <c r="E14" i="6"/>
  <c r="F16" i="6"/>
  <c r="E16" i="6"/>
  <c r="F18" i="6"/>
  <c r="E18" i="6"/>
  <c r="D51" i="4"/>
  <c r="D50" i="4"/>
  <c r="D49" i="4"/>
  <c r="C47" i="4"/>
  <c r="C46" i="4"/>
  <c r="C45" i="4"/>
  <c r="D43" i="4"/>
  <c r="D42" i="4"/>
  <c r="D41" i="4"/>
  <c r="C39" i="4"/>
  <c r="C38" i="4"/>
  <c r="C37" i="4"/>
  <c r="F33" i="8" l="1"/>
  <c r="F44" i="8" s="1"/>
  <c r="E22" i="7"/>
  <c r="E38" i="8"/>
  <c r="F38" i="8"/>
  <c r="F39" i="8"/>
  <c r="E39" i="8"/>
  <c r="F37" i="8"/>
  <c r="E37" i="8"/>
  <c r="F36" i="8"/>
  <c r="E36" i="8"/>
  <c r="E34" i="8"/>
  <c r="F34" i="8"/>
  <c r="E42" i="8"/>
  <c r="F42" i="8"/>
  <c r="F43" i="8"/>
  <c r="E43" i="8"/>
  <c r="F40" i="8"/>
  <c r="E40" i="8"/>
  <c r="F41" i="8"/>
  <c r="E41" i="8"/>
  <c r="F35" i="8"/>
  <c r="E35" i="8"/>
  <c r="F22" i="7"/>
  <c r="E411" i="6"/>
  <c r="E345" i="6"/>
  <c r="E279" i="6"/>
  <c r="E215" i="6"/>
  <c r="E83" i="6"/>
  <c r="F27" i="6"/>
  <c r="E149" i="6"/>
  <c r="E27" i="6"/>
  <c r="E407" i="6"/>
  <c r="E341" i="6"/>
  <c r="E211" i="6"/>
  <c r="E79" i="6"/>
  <c r="F23" i="6"/>
  <c r="E275" i="6"/>
  <c r="E145" i="6"/>
  <c r="E23" i="6"/>
  <c r="E274" i="6"/>
  <c r="E340" i="6"/>
  <c r="F22" i="6"/>
  <c r="E144" i="6"/>
  <c r="E78" i="6"/>
  <c r="E22" i="6"/>
  <c r="E406" i="6"/>
  <c r="E210" i="6"/>
  <c r="F345" i="6"/>
  <c r="F279" i="6"/>
  <c r="F215" i="6"/>
  <c r="F411" i="6"/>
  <c r="F149" i="6"/>
  <c r="F83" i="6"/>
  <c r="F341" i="6"/>
  <c r="F407" i="6"/>
  <c r="F211" i="6"/>
  <c r="F275" i="6"/>
  <c r="F145" i="6"/>
  <c r="F79" i="6"/>
  <c r="F337" i="6"/>
  <c r="F271" i="6"/>
  <c r="F207" i="6"/>
  <c r="F403" i="6"/>
  <c r="F141" i="6"/>
  <c r="F75" i="6"/>
  <c r="F278" i="6"/>
  <c r="F344" i="6"/>
  <c r="F410" i="6"/>
  <c r="F148" i="6"/>
  <c r="F82" i="6"/>
  <c r="F214" i="6"/>
  <c r="F274" i="6"/>
  <c r="F340" i="6"/>
  <c r="F406" i="6"/>
  <c r="F144" i="6"/>
  <c r="F78" i="6"/>
  <c r="F210" i="6"/>
  <c r="E403" i="6"/>
  <c r="E337" i="6"/>
  <c r="E271" i="6"/>
  <c r="E207" i="6"/>
  <c r="E75" i="6"/>
  <c r="F19" i="6"/>
  <c r="E141" i="6"/>
  <c r="E19" i="6"/>
  <c r="E410" i="6"/>
  <c r="E344" i="6"/>
  <c r="E278" i="6"/>
  <c r="F26" i="6"/>
  <c r="E148" i="6"/>
  <c r="E82" i="6"/>
  <c r="E26" i="6"/>
  <c r="E214" i="6"/>
  <c r="E413" i="6"/>
  <c r="E217" i="6"/>
  <c r="E347" i="6"/>
  <c r="E281" i="6"/>
  <c r="E151" i="6"/>
  <c r="F29" i="6"/>
  <c r="E85" i="6"/>
  <c r="E29" i="6"/>
  <c r="E409" i="6"/>
  <c r="E277" i="6"/>
  <c r="E213" i="6"/>
  <c r="E343" i="6"/>
  <c r="E147" i="6"/>
  <c r="F25" i="6"/>
  <c r="E81" i="6"/>
  <c r="E25" i="6"/>
  <c r="E405" i="6"/>
  <c r="E209" i="6"/>
  <c r="E273" i="6"/>
  <c r="E143" i="6"/>
  <c r="E339" i="6"/>
  <c r="F21" i="6"/>
  <c r="E77" i="6"/>
  <c r="E21" i="6"/>
  <c r="E412" i="6"/>
  <c r="E346" i="6"/>
  <c r="E216" i="6"/>
  <c r="F28" i="6"/>
  <c r="E280" i="6"/>
  <c r="E150" i="6"/>
  <c r="E84" i="6"/>
  <c r="E28" i="6"/>
  <c r="E342" i="6"/>
  <c r="E408" i="6"/>
  <c r="E276" i="6"/>
  <c r="E212" i="6"/>
  <c r="F24" i="6"/>
  <c r="E146" i="6"/>
  <c r="E80" i="6"/>
  <c r="E24" i="6"/>
  <c r="E338" i="6"/>
  <c r="E404" i="6"/>
  <c r="E272" i="6"/>
  <c r="E208" i="6"/>
  <c r="F20" i="6"/>
  <c r="E142" i="6"/>
  <c r="E76" i="6"/>
  <c r="E20" i="6"/>
  <c r="F347" i="6"/>
  <c r="F217" i="6"/>
  <c r="F281" i="6"/>
  <c r="F413" i="6"/>
  <c r="F151" i="6"/>
  <c r="F85" i="6"/>
  <c r="F343" i="6"/>
  <c r="F213" i="6"/>
  <c r="F409" i="6"/>
  <c r="F277" i="6"/>
  <c r="F147" i="6"/>
  <c r="F81" i="6"/>
  <c r="F339" i="6"/>
  <c r="F405" i="6"/>
  <c r="F209" i="6"/>
  <c r="F273" i="6"/>
  <c r="F143" i="6"/>
  <c r="F77" i="6"/>
  <c r="F412" i="6"/>
  <c r="F346" i="6"/>
  <c r="F280" i="6"/>
  <c r="F216" i="6"/>
  <c r="F150" i="6"/>
  <c r="F84" i="6"/>
  <c r="F276" i="6"/>
  <c r="F408" i="6"/>
  <c r="F146" i="6"/>
  <c r="F80" i="6"/>
  <c r="F342" i="6"/>
  <c r="F212" i="6"/>
  <c r="F404" i="6"/>
  <c r="F338" i="6"/>
  <c r="F272" i="6"/>
  <c r="F142" i="6"/>
  <c r="F76" i="6"/>
  <c r="F208" i="6"/>
  <c r="C24" i="2"/>
  <c r="C23" i="2"/>
  <c r="C22" i="2"/>
  <c r="B20" i="2"/>
  <c r="B19" i="2"/>
  <c r="B18" i="2"/>
  <c r="C16" i="2"/>
  <c r="C15" i="2"/>
  <c r="C14" i="2"/>
  <c r="B12" i="2"/>
  <c r="B11" i="2"/>
  <c r="B10" i="2"/>
  <c r="D51" i="1"/>
  <c r="D50" i="1"/>
  <c r="D49" i="1"/>
  <c r="C47" i="1"/>
  <c r="C46" i="1"/>
  <c r="C45" i="1"/>
  <c r="D43" i="1"/>
  <c r="D42" i="1"/>
  <c r="D41" i="1"/>
  <c r="C39" i="1"/>
  <c r="C38" i="1"/>
  <c r="C37" i="1"/>
  <c r="E44" i="8" l="1"/>
  <c r="F51" i="8"/>
  <c r="E51" i="8"/>
  <c r="E52" i="8"/>
  <c r="F52" i="8"/>
  <c r="F54" i="8"/>
  <c r="E54" i="8"/>
  <c r="F47" i="8"/>
  <c r="E47" i="8"/>
  <c r="E50" i="8"/>
  <c r="F50" i="8"/>
  <c r="F45" i="8"/>
  <c r="E45" i="8"/>
  <c r="F46" i="8"/>
  <c r="E46" i="8"/>
  <c r="E48" i="8"/>
  <c r="F48" i="8"/>
  <c r="F53" i="8"/>
  <c r="E53" i="8"/>
  <c r="F55" i="8"/>
  <c r="E55" i="8"/>
  <c r="F49" i="8"/>
  <c r="E49" i="8"/>
  <c r="E418" i="6"/>
  <c r="E352" i="6"/>
  <c r="E286" i="6"/>
  <c r="F34" i="6"/>
  <c r="E222" i="6"/>
  <c r="E156" i="6"/>
  <c r="E90" i="6"/>
  <c r="E34" i="6"/>
  <c r="E415" i="6"/>
  <c r="E349" i="6"/>
  <c r="E219" i="6"/>
  <c r="E283" i="6"/>
  <c r="E87" i="6"/>
  <c r="F31" i="6"/>
  <c r="E153" i="6"/>
  <c r="E31" i="6"/>
  <c r="E419" i="6"/>
  <c r="E287" i="6"/>
  <c r="E223" i="6"/>
  <c r="E91" i="6"/>
  <c r="E353" i="6"/>
  <c r="F35" i="6"/>
  <c r="E157" i="6"/>
  <c r="E35" i="6"/>
  <c r="E423" i="6"/>
  <c r="E357" i="6"/>
  <c r="E227" i="6"/>
  <c r="E291" i="6"/>
  <c r="E95" i="6"/>
  <c r="F39" i="6"/>
  <c r="E161" i="6"/>
  <c r="E39" i="6"/>
  <c r="F357" i="6"/>
  <c r="F423" i="6"/>
  <c r="F227" i="6"/>
  <c r="F291" i="6"/>
  <c r="F161" i="6"/>
  <c r="F95" i="6"/>
  <c r="E416" i="6"/>
  <c r="E284" i="6"/>
  <c r="F32" i="6"/>
  <c r="E154" i="6"/>
  <c r="E88" i="6"/>
  <c r="E32" i="6"/>
  <c r="E350" i="6"/>
  <c r="E220" i="6"/>
  <c r="E354" i="6"/>
  <c r="E224" i="6"/>
  <c r="F36" i="6"/>
  <c r="E158" i="6"/>
  <c r="E92" i="6"/>
  <c r="E36" i="6"/>
  <c r="E420" i="6"/>
  <c r="E288" i="6"/>
  <c r="E292" i="6"/>
  <c r="E358" i="6"/>
  <c r="F40" i="6"/>
  <c r="E424" i="6"/>
  <c r="E162" i="6"/>
  <c r="E96" i="6"/>
  <c r="E40" i="6"/>
  <c r="E228" i="6"/>
  <c r="F355" i="6"/>
  <c r="F225" i="6"/>
  <c r="F289" i="6"/>
  <c r="F421" i="6"/>
  <c r="F159" i="6"/>
  <c r="F93" i="6"/>
  <c r="E282" i="6"/>
  <c r="E348" i="6"/>
  <c r="E414" i="6"/>
  <c r="F30" i="6"/>
  <c r="E152" i="6"/>
  <c r="E86" i="6"/>
  <c r="E30" i="6"/>
  <c r="E218" i="6"/>
  <c r="F351" i="6"/>
  <c r="F221" i="6"/>
  <c r="F417" i="6"/>
  <c r="F285" i="6"/>
  <c r="F155" i="6"/>
  <c r="F89" i="6"/>
  <c r="E356" i="6"/>
  <c r="E290" i="6"/>
  <c r="E422" i="6"/>
  <c r="F38" i="6"/>
  <c r="E160" i="6"/>
  <c r="E94" i="6"/>
  <c r="E38" i="6"/>
  <c r="E226" i="6"/>
  <c r="E421" i="6"/>
  <c r="E355" i="6"/>
  <c r="E225" i="6"/>
  <c r="E289" i="6"/>
  <c r="E159" i="6"/>
  <c r="F37" i="6"/>
  <c r="E93" i="6"/>
  <c r="E37" i="6"/>
  <c r="E417" i="6"/>
  <c r="E285" i="6"/>
  <c r="E351" i="6"/>
  <c r="E221" i="6"/>
  <c r="E155" i="6"/>
  <c r="F33" i="6"/>
  <c r="E89" i="6"/>
  <c r="E33" i="6"/>
  <c r="F290" i="6"/>
  <c r="F422" i="6"/>
  <c r="F226" i="6"/>
  <c r="F160" i="6"/>
  <c r="F94" i="6"/>
  <c r="F356" i="6"/>
  <c r="F349" i="6"/>
  <c r="F415" i="6"/>
  <c r="F219" i="6"/>
  <c r="F283" i="6"/>
  <c r="F153" i="6"/>
  <c r="F87" i="6"/>
  <c r="F353" i="6"/>
  <c r="F419" i="6"/>
  <c r="F287" i="6"/>
  <c r="F223" i="6"/>
  <c r="F157" i="6"/>
  <c r="F91" i="6"/>
  <c r="F284" i="6"/>
  <c r="F350" i="6"/>
  <c r="F220" i="6"/>
  <c r="F154" i="6"/>
  <c r="F88" i="6"/>
  <c r="F416" i="6"/>
  <c r="F420" i="6"/>
  <c r="F354" i="6"/>
  <c r="F288" i="6"/>
  <c r="F224" i="6"/>
  <c r="F158" i="6"/>
  <c r="F92" i="6"/>
  <c r="F292" i="6"/>
  <c r="F358" i="6"/>
  <c r="F424" i="6"/>
  <c r="F228" i="6"/>
  <c r="F162" i="6"/>
  <c r="F96" i="6"/>
  <c r="F282" i="6"/>
  <c r="F348" i="6"/>
  <c r="F414" i="6"/>
  <c r="F218" i="6"/>
  <c r="F152" i="6"/>
  <c r="F86" i="6"/>
  <c r="F286" i="6"/>
  <c r="F352" i="6"/>
  <c r="F418" i="6"/>
  <c r="F222" i="6"/>
  <c r="F156" i="6"/>
  <c r="F90" i="6"/>
  <c r="E60" i="8" l="1"/>
  <c r="F60" i="8"/>
  <c r="E64" i="8"/>
  <c r="F64" i="8"/>
  <c r="F57" i="8"/>
  <c r="E57" i="8"/>
  <c r="F65" i="8"/>
  <c r="E65" i="8"/>
  <c r="E62" i="8"/>
  <c r="F62" i="8"/>
  <c r="E66" i="8"/>
  <c r="F66" i="8"/>
  <c r="E56" i="8"/>
  <c r="F56" i="8"/>
  <c r="E58" i="8"/>
  <c r="F58" i="8"/>
  <c r="F59" i="8"/>
  <c r="E59" i="8"/>
  <c r="F63" i="8"/>
  <c r="E63" i="8"/>
  <c r="F61" i="8"/>
  <c r="E61" i="8"/>
  <c r="F359" i="6"/>
  <c r="F229" i="6"/>
  <c r="F425" i="6"/>
  <c r="F293" i="6"/>
  <c r="F163" i="6"/>
  <c r="F97" i="6"/>
  <c r="E431" i="6"/>
  <c r="E365" i="6"/>
  <c r="E235" i="6"/>
  <c r="E169" i="6"/>
  <c r="E103" i="6"/>
  <c r="E299" i="6"/>
  <c r="F47" i="6"/>
  <c r="E47" i="6"/>
  <c r="E434" i="6"/>
  <c r="E368" i="6"/>
  <c r="E302" i="6"/>
  <c r="F50" i="6"/>
  <c r="E238" i="6"/>
  <c r="E172" i="6"/>
  <c r="E106" i="6"/>
  <c r="E50" i="6"/>
  <c r="E426" i="6"/>
  <c r="E360" i="6"/>
  <c r="E294" i="6"/>
  <c r="F42" i="6"/>
  <c r="E230" i="6"/>
  <c r="E164" i="6"/>
  <c r="E98" i="6"/>
  <c r="E42" i="6"/>
  <c r="F363" i="6"/>
  <c r="F233" i="6"/>
  <c r="F429" i="6"/>
  <c r="F297" i="6"/>
  <c r="F167" i="6"/>
  <c r="F101" i="6"/>
  <c r="E425" i="6"/>
  <c r="E359" i="6"/>
  <c r="E293" i="6"/>
  <c r="E229" i="6"/>
  <c r="E163" i="6"/>
  <c r="F41" i="6"/>
  <c r="E97" i="6"/>
  <c r="E41" i="6"/>
  <c r="F300" i="6"/>
  <c r="F366" i="6"/>
  <c r="F432" i="6"/>
  <c r="F236" i="6"/>
  <c r="F170" i="6"/>
  <c r="F104" i="6"/>
  <c r="E427" i="6"/>
  <c r="E295" i="6"/>
  <c r="E231" i="6"/>
  <c r="E361" i="6"/>
  <c r="E165" i="6"/>
  <c r="E99" i="6"/>
  <c r="F43" i="6"/>
  <c r="E43" i="6"/>
  <c r="E429" i="6"/>
  <c r="E363" i="6"/>
  <c r="E233" i="6"/>
  <c r="E297" i="6"/>
  <c r="F45" i="6"/>
  <c r="E167" i="6"/>
  <c r="E101" i="6"/>
  <c r="E45" i="6"/>
  <c r="E362" i="6"/>
  <c r="E428" i="6"/>
  <c r="E232" i="6"/>
  <c r="F44" i="6"/>
  <c r="E166" i="6"/>
  <c r="E100" i="6"/>
  <c r="E44" i="6"/>
  <c r="E296" i="6"/>
  <c r="E366" i="6"/>
  <c r="E300" i="6"/>
  <c r="E432" i="6"/>
  <c r="F48" i="6"/>
  <c r="E170" i="6"/>
  <c r="E104" i="6"/>
  <c r="E48" i="6"/>
  <c r="E236" i="6"/>
  <c r="F367" i="6"/>
  <c r="F433" i="6"/>
  <c r="F237" i="6"/>
  <c r="F301" i="6"/>
  <c r="F171" i="6"/>
  <c r="F105" i="6"/>
  <c r="F302" i="6"/>
  <c r="F368" i="6"/>
  <c r="F238" i="6"/>
  <c r="F172" i="6"/>
  <c r="F106" i="6"/>
  <c r="F434" i="6"/>
  <c r="F298" i="6"/>
  <c r="F364" i="6"/>
  <c r="F234" i="6"/>
  <c r="F168" i="6"/>
  <c r="F102" i="6"/>
  <c r="F430" i="6"/>
  <c r="F294" i="6"/>
  <c r="F426" i="6"/>
  <c r="F230" i="6"/>
  <c r="F360" i="6"/>
  <c r="F164" i="6"/>
  <c r="F98" i="6"/>
  <c r="F428" i="6"/>
  <c r="F362" i="6"/>
  <c r="F296" i="6"/>
  <c r="F232" i="6"/>
  <c r="F166" i="6"/>
  <c r="F100" i="6"/>
  <c r="E430" i="6"/>
  <c r="E298" i="6"/>
  <c r="F46" i="6"/>
  <c r="E168" i="6"/>
  <c r="E102" i="6"/>
  <c r="E46" i="6"/>
  <c r="E234" i="6"/>
  <c r="E364" i="6"/>
  <c r="E433" i="6"/>
  <c r="E301" i="6"/>
  <c r="E237" i="6"/>
  <c r="E367" i="6"/>
  <c r="F49" i="6"/>
  <c r="E171" i="6"/>
  <c r="E105" i="6"/>
  <c r="E49" i="6"/>
  <c r="E435" i="6"/>
  <c r="E369" i="6"/>
  <c r="E303" i="6"/>
  <c r="E239" i="6"/>
  <c r="E173" i="6"/>
  <c r="E107" i="6"/>
  <c r="F51" i="6"/>
  <c r="E51" i="6"/>
  <c r="F369" i="6"/>
  <c r="F303" i="6"/>
  <c r="F239" i="6"/>
  <c r="F435" i="6"/>
  <c r="F173" i="6"/>
  <c r="F107" i="6"/>
  <c r="F365" i="6"/>
  <c r="F431" i="6"/>
  <c r="F235" i="6"/>
  <c r="F299" i="6"/>
  <c r="F169" i="6"/>
  <c r="F103" i="6"/>
  <c r="F361" i="6"/>
  <c r="F295" i="6"/>
  <c r="F231" i="6"/>
  <c r="F427" i="6"/>
  <c r="F165" i="6"/>
  <c r="F99" i="6"/>
  <c r="E76" i="8" l="1"/>
  <c r="F76" i="8"/>
  <c r="F69" i="8"/>
  <c r="E69" i="8"/>
  <c r="F77" i="8"/>
  <c r="E77" i="8"/>
  <c r="F75" i="8"/>
  <c r="E75" i="8"/>
  <c r="E72" i="8"/>
  <c r="F72" i="8"/>
  <c r="E70" i="8"/>
  <c r="F70" i="8"/>
  <c r="E68" i="8"/>
  <c r="F68" i="8"/>
  <c r="E74" i="8"/>
  <c r="F74" i="8"/>
  <c r="F67" i="8"/>
  <c r="E67" i="8"/>
  <c r="F73" i="8"/>
  <c r="E73" i="8"/>
  <c r="F71" i="8"/>
  <c r="E71" i="8"/>
  <c r="E304" i="6"/>
  <c r="E370" i="6"/>
  <c r="E436" i="6"/>
  <c r="E240" i="6"/>
  <c r="F52" i="6"/>
  <c r="E174" i="6"/>
  <c r="E108" i="6"/>
  <c r="E52" i="6"/>
  <c r="E441" i="6"/>
  <c r="E245" i="6"/>
  <c r="E375" i="6"/>
  <c r="E309" i="6"/>
  <c r="F57" i="6"/>
  <c r="E179" i="6"/>
  <c r="E113" i="6"/>
  <c r="E57" i="6"/>
  <c r="F377" i="6"/>
  <c r="F247" i="6"/>
  <c r="F443" i="6"/>
  <c r="F311" i="6"/>
  <c r="F181" i="6"/>
  <c r="F115" i="6"/>
  <c r="F373" i="6"/>
  <c r="F439" i="6"/>
  <c r="F307" i="6"/>
  <c r="F243" i="6"/>
  <c r="F177" i="6"/>
  <c r="F111" i="6"/>
  <c r="E308" i="6"/>
  <c r="E374" i="6"/>
  <c r="E440" i="6"/>
  <c r="F56" i="6"/>
  <c r="E178" i="6"/>
  <c r="E112" i="6"/>
  <c r="E56" i="6"/>
  <c r="E244" i="6"/>
  <c r="E306" i="6"/>
  <c r="E372" i="6"/>
  <c r="F54" i="6"/>
  <c r="E438" i="6"/>
  <c r="E176" i="6"/>
  <c r="E110" i="6"/>
  <c r="E54" i="6"/>
  <c r="E242" i="6"/>
  <c r="F380" i="6"/>
  <c r="F314" i="6"/>
  <c r="F446" i="6"/>
  <c r="F250" i="6"/>
  <c r="F184" i="6"/>
  <c r="F118" i="6"/>
  <c r="F375" i="6"/>
  <c r="F245" i="6"/>
  <c r="F309" i="6"/>
  <c r="F441" i="6"/>
  <c r="F179" i="6"/>
  <c r="F113" i="6"/>
  <c r="F440" i="6"/>
  <c r="F244" i="6"/>
  <c r="F374" i="6"/>
  <c r="F178" i="6"/>
  <c r="F112" i="6"/>
  <c r="F308" i="6"/>
  <c r="F444" i="6"/>
  <c r="F378" i="6"/>
  <c r="F312" i="6"/>
  <c r="F248" i="6"/>
  <c r="F182" i="6"/>
  <c r="F116" i="6"/>
  <c r="E443" i="6"/>
  <c r="E377" i="6"/>
  <c r="E311" i="6"/>
  <c r="E247" i="6"/>
  <c r="E181" i="6"/>
  <c r="F59" i="6"/>
  <c r="E115" i="6"/>
  <c r="E59" i="6"/>
  <c r="E439" i="6"/>
  <c r="E373" i="6"/>
  <c r="E307" i="6"/>
  <c r="E243" i="6"/>
  <c r="E177" i="6"/>
  <c r="E111" i="6"/>
  <c r="F55" i="6"/>
  <c r="E55" i="6"/>
  <c r="F372" i="6"/>
  <c r="F306" i="6"/>
  <c r="F438" i="6"/>
  <c r="F242" i="6"/>
  <c r="F176" i="6"/>
  <c r="F110" i="6"/>
  <c r="F436" i="6"/>
  <c r="F370" i="6"/>
  <c r="F240" i="6"/>
  <c r="F304" i="6"/>
  <c r="F174" i="6"/>
  <c r="F108" i="6"/>
  <c r="E437" i="6"/>
  <c r="E305" i="6"/>
  <c r="E241" i="6"/>
  <c r="E371" i="6"/>
  <c r="F53" i="6"/>
  <c r="E175" i="6"/>
  <c r="E109" i="6"/>
  <c r="E53" i="6"/>
  <c r="F371" i="6"/>
  <c r="F437" i="6"/>
  <c r="F241" i="6"/>
  <c r="F305" i="6"/>
  <c r="F175" i="6"/>
  <c r="F109" i="6"/>
  <c r="E445" i="6"/>
  <c r="E313" i="6"/>
  <c r="E249" i="6"/>
  <c r="E379" i="6"/>
  <c r="F61" i="6"/>
  <c r="E183" i="6"/>
  <c r="E117" i="6"/>
  <c r="E61" i="6"/>
  <c r="F379" i="6"/>
  <c r="F249" i="6"/>
  <c r="F313" i="6"/>
  <c r="F183" i="6"/>
  <c r="F117" i="6"/>
  <c r="F445" i="6"/>
  <c r="E310" i="6"/>
  <c r="E442" i="6"/>
  <c r="E376" i="6"/>
  <c r="F58" i="6"/>
  <c r="E246" i="6"/>
  <c r="E180" i="6"/>
  <c r="E114" i="6"/>
  <c r="E58" i="6"/>
  <c r="E314" i="6"/>
  <c r="E380" i="6"/>
  <c r="E446" i="6"/>
  <c r="F62" i="6"/>
  <c r="E184" i="6"/>
  <c r="E118" i="6"/>
  <c r="E62" i="6"/>
  <c r="E250" i="6"/>
  <c r="E312" i="6"/>
  <c r="E444" i="6"/>
  <c r="E248" i="6"/>
  <c r="F60" i="6"/>
  <c r="E182" i="6"/>
  <c r="E116" i="6"/>
  <c r="E60" i="6"/>
  <c r="E378" i="6"/>
  <c r="F310" i="6"/>
  <c r="F376" i="6"/>
  <c r="F442" i="6"/>
  <c r="F246" i="6"/>
  <c r="F180" i="6"/>
  <c r="F114" i="6"/>
  <c r="F389" i="6" l="1"/>
  <c r="F455" i="6"/>
  <c r="F323" i="6"/>
  <c r="F259" i="6"/>
  <c r="F193" i="6"/>
  <c r="F127" i="6"/>
  <c r="F391" i="6"/>
  <c r="F457" i="6"/>
  <c r="F261" i="6"/>
  <c r="F325" i="6"/>
  <c r="F195" i="6"/>
  <c r="F129" i="6"/>
  <c r="F387" i="6"/>
  <c r="F321" i="6"/>
  <c r="F257" i="6"/>
  <c r="F453" i="6"/>
  <c r="F191" i="6"/>
  <c r="F125" i="6"/>
  <c r="F385" i="6"/>
  <c r="F451" i="6"/>
  <c r="F255" i="6"/>
  <c r="F319" i="6"/>
  <c r="F189" i="6"/>
  <c r="F123" i="6"/>
  <c r="E455" i="6"/>
  <c r="E389" i="6"/>
  <c r="E259" i="6"/>
  <c r="E323" i="6"/>
  <c r="E127" i="6"/>
  <c r="F71" i="6"/>
  <c r="E193" i="6"/>
  <c r="E71" i="6"/>
  <c r="E457" i="6"/>
  <c r="E261" i="6"/>
  <c r="E391" i="6"/>
  <c r="E325" i="6"/>
  <c r="E195" i="6"/>
  <c r="F73" i="6"/>
  <c r="E129" i="6"/>
  <c r="E73" i="6"/>
  <c r="F390" i="6"/>
  <c r="F324" i="6"/>
  <c r="F456" i="6"/>
  <c r="F260" i="6"/>
  <c r="F194" i="6"/>
  <c r="F128" i="6"/>
  <c r="F318" i="6"/>
  <c r="F384" i="6"/>
  <c r="F450" i="6"/>
  <c r="F254" i="6"/>
  <c r="F188" i="6"/>
  <c r="F122" i="6"/>
  <c r="E449" i="6"/>
  <c r="E383" i="6"/>
  <c r="E317" i="6"/>
  <c r="E253" i="6"/>
  <c r="E65" i="6"/>
  <c r="F65" i="6"/>
  <c r="E187" i="6"/>
  <c r="E121" i="6"/>
  <c r="F383" i="6"/>
  <c r="F317" i="6"/>
  <c r="F253" i="6"/>
  <c r="F449" i="6"/>
  <c r="F187" i="6"/>
  <c r="F121" i="6"/>
  <c r="E451" i="6"/>
  <c r="E255" i="6"/>
  <c r="E319" i="6"/>
  <c r="E385" i="6"/>
  <c r="E189" i="6"/>
  <c r="E123" i="6"/>
  <c r="F67" i="6"/>
  <c r="E67" i="6"/>
  <c r="E324" i="6"/>
  <c r="E390" i="6"/>
  <c r="E456" i="6"/>
  <c r="F72" i="6"/>
  <c r="E194" i="6"/>
  <c r="E128" i="6"/>
  <c r="E72" i="6"/>
  <c r="E260" i="6"/>
  <c r="F454" i="6"/>
  <c r="F258" i="6"/>
  <c r="F388" i="6"/>
  <c r="F192" i="6"/>
  <c r="F126" i="6"/>
  <c r="F322" i="6"/>
  <c r="E453" i="6"/>
  <c r="E321" i="6"/>
  <c r="E387" i="6"/>
  <c r="E257" i="6"/>
  <c r="E191" i="6"/>
  <c r="E69" i="6"/>
  <c r="F69" i="6"/>
  <c r="E125" i="6"/>
  <c r="E316" i="6"/>
  <c r="E448" i="6"/>
  <c r="F64" i="6"/>
  <c r="E186" i="6"/>
  <c r="E120" i="6"/>
  <c r="E64" i="6"/>
  <c r="E382" i="6"/>
  <c r="E252" i="6"/>
  <c r="E318" i="6"/>
  <c r="E450" i="6"/>
  <c r="E384" i="6"/>
  <c r="F66" i="6"/>
  <c r="E254" i="6"/>
  <c r="E188" i="6"/>
  <c r="E122" i="6"/>
  <c r="E66" i="6"/>
  <c r="E322" i="6"/>
  <c r="E388" i="6"/>
  <c r="E454" i="6"/>
  <c r="F70" i="6"/>
  <c r="E192" i="6"/>
  <c r="E126" i="6"/>
  <c r="E70" i="6"/>
  <c r="E258" i="6"/>
  <c r="E320" i="6"/>
  <c r="E386" i="6"/>
  <c r="E256" i="6"/>
  <c r="F68" i="6"/>
  <c r="E452" i="6"/>
  <c r="E190" i="6"/>
  <c r="E124" i="6"/>
  <c r="E68" i="6"/>
  <c r="E447" i="6"/>
  <c r="E381" i="6"/>
  <c r="E251" i="6"/>
  <c r="E315" i="6"/>
  <c r="E185" i="6"/>
  <c r="F63" i="6"/>
  <c r="E119" i="6"/>
  <c r="E63" i="6"/>
  <c r="F382" i="6"/>
  <c r="F316" i="6"/>
  <c r="F252" i="6"/>
  <c r="F186" i="6"/>
  <c r="F120" i="6"/>
  <c r="F448" i="6"/>
  <c r="F452" i="6"/>
  <c r="F386" i="6"/>
  <c r="F320" i="6"/>
  <c r="F256" i="6"/>
  <c r="F190" i="6"/>
  <c r="F124" i="6"/>
  <c r="F381" i="6"/>
  <c r="F447" i="6"/>
  <c r="F315" i="6"/>
  <c r="F251" i="6"/>
  <c r="F185" i="6"/>
  <c r="F119" i="6"/>
  <c r="F397" i="6" l="1"/>
  <c r="F463" i="6"/>
  <c r="F331" i="6"/>
  <c r="F267" i="6"/>
  <c r="F201" i="6"/>
  <c r="F135" i="6"/>
  <c r="F399" i="6"/>
  <c r="F465" i="6"/>
  <c r="F269" i="6"/>
  <c r="F203" i="6"/>
  <c r="F333" i="6"/>
  <c r="F137" i="6"/>
  <c r="F395" i="6"/>
  <c r="F461" i="6"/>
  <c r="F265" i="6"/>
  <c r="F329" i="6"/>
  <c r="F199" i="6"/>
  <c r="F133" i="6"/>
  <c r="E465" i="6"/>
  <c r="E269" i="6"/>
  <c r="E333" i="6"/>
  <c r="E399" i="6"/>
  <c r="E203" i="6"/>
  <c r="E137" i="6"/>
  <c r="F393" i="6"/>
  <c r="F327" i="6"/>
  <c r="F263" i="6"/>
  <c r="F459" i="6"/>
  <c r="F197" i="6"/>
  <c r="F131" i="6"/>
  <c r="F398" i="6"/>
  <c r="F332" i="6"/>
  <c r="F464" i="6"/>
  <c r="F268" i="6"/>
  <c r="F136" i="6"/>
  <c r="F202" i="6"/>
  <c r="E326" i="6"/>
  <c r="E458" i="6"/>
  <c r="E392" i="6"/>
  <c r="E262" i="6"/>
  <c r="F74" i="6"/>
  <c r="E196" i="6"/>
  <c r="E130" i="6"/>
  <c r="E74" i="6"/>
  <c r="E463" i="6"/>
  <c r="E397" i="6"/>
  <c r="E267" i="6"/>
  <c r="E331" i="6"/>
  <c r="E201" i="6"/>
  <c r="E135" i="6"/>
  <c r="E461" i="6"/>
  <c r="E329" i="6"/>
  <c r="E265" i="6"/>
  <c r="E395" i="6"/>
  <c r="E199" i="6"/>
  <c r="E133" i="6"/>
  <c r="E468" i="6"/>
  <c r="E402" i="6"/>
  <c r="E336" i="6"/>
  <c r="E206" i="6"/>
  <c r="E140" i="6"/>
  <c r="E334" i="6"/>
  <c r="E466" i="6"/>
  <c r="E400" i="6"/>
  <c r="E270" i="6"/>
  <c r="E204" i="6"/>
  <c r="E138" i="6"/>
  <c r="F326" i="6"/>
  <c r="F458" i="6"/>
  <c r="F196" i="6"/>
  <c r="F130" i="6"/>
  <c r="F262" i="6"/>
  <c r="F392" i="6"/>
  <c r="E459" i="6"/>
  <c r="E263" i="6"/>
  <c r="E393" i="6"/>
  <c r="E327" i="6"/>
  <c r="E131" i="6"/>
  <c r="E197" i="6"/>
  <c r="E332" i="6"/>
  <c r="E202" i="6"/>
  <c r="E398" i="6"/>
  <c r="E464" i="6"/>
  <c r="E136" i="6"/>
  <c r="E268" i="6"/>
  <c r="F401" i="6"/>
  <c r="F335" i="6"/>
  <c r="F205" i="6"/>
  <c r="F467" i="6"/>
  <c r="F139" i="6"/>
  <c r="E330" i="6"/>
  <c r="E462" i="6"/>
  <c r="E266" i="6"/>
  <c r="E200" i="6"/>
  <c r="E134" i="6"/>
  <c r="E396" i="6"/>
  <c r="F460" i="6"/>
  <c r="F394" i="6"/>
  <c r="F328" i="6"/>
  <c r="F264" i="6"/>
  <c r="F198" i="6"/>
  <c r="F132" i="6"/>
  <c r="F468" i="6"/>
  <c r="F336" i="6"/>
  <c r="F140" i="6"/>
  <c r="F206" i="6"/>
  <c r="F402" i="6"/>
  <c r="F334" i="6"/>
  <c r="F400" i="6"/>
  <c r="F204" i="6"/>
  <c r="F138" i="6"/>
  <c r="F466" i="6"/>
  <c r="F270" i="6"/>
  <c r="E467" i="6"/>
  <c r="E401" i="6"/>
  <c r="E335" i="6"/>
  <c r="E139" i="6"/>
  <c r="E205" i="6"/>
  <c r="F266" i="6"/>
  <c r="F396" i="6"/>
  <c r="F330" i="6"/>
  <c r="F200" i="6"/>
  <c r="F134" i="6"/>
  <c r="F462" i="6"/>
  <c r="E328" i="6"/>
  <c r="E394" i="6"/>
  <c r="E264" i="6"/>
  <c r="E460" i="6"/>
  <c r="E198" i="6"/>
  <c r="E132" i="6"/>
  <c r="E469" i="6" l="1"/>
  <c r="E472" i="6" s="1"/>
  <c r="E470" i="6" l="1"/>
  <c r="E471" i="6" s="1"/>
  <c r="F469" i="6"/>
  <c r="F470" i="6" s="1"/>
  <c r="F471" i="6" s="1"/>
  <c r="F472" i="6" s="1"/>
</calcChain>
</file>

<file path=xl/sharedStrings.xml><?xml version="1.0" encoding="utf-8"?>
<sst xmlns="http://schemas.openxmlformats.org/spreadsheetml/2006/main" count="43" uniqueCount="12">
  <si>
    <t>x</t>
    <phoneticPr fontId="1"/>
  </si>
  <si>
    <t>y</t>
    <phoneticPr fontId="1"/>
  </si>
  <si>
    <t>横変形</t>
    <rPh sb="0" eb="1">
      <t>ヨコ</t>
    </rPh>
    <rPh sb="1" eb="3">
      <t>ヘンケイ</t>
    </rPh>
    <phoneticPr fontId="1"/>
  </si>
  <si>
    <t>縦変形</t>
    <rPh sb="0" eb="1">
      <t>タテ</t>
    </rPh>
    <rPh sb="1" eb="3">
      <t>ヘンケイ</t>
    </rPh>
    <phoneticPr fontId="1"/>
  </si>
  <si>
    <t>n</t>
    <phoneticPr fontId="1"/>
  </si>
  <si>
    <t>rand1</t>
    <phoneticPr fontId="1"/>
  </si>
  <si>
    <t>rand2</t>
    <phoneticPr fontId="1"/>
  </si>
  <si>
    <t>m</t>
    <phoneticPr fontId="1"/>
  </si>
  <si>
    <t>ランダム半径</t>
    <rPh sb="4" eb="6">
      <t>ハンケイ</t>
    </rPh>
    <phoneticPr fontId="1"/>
  </si>
  <si>
    <t>ランダム角度</t>
    <rPh sb="4" eb="6">
      <t>カクド</t>
    </rPh>
    <phoneticPr fontId="1"/>
  </si>
  <si>
    <t>変形①</t>
    <rPh sb="0" eb="2">
      <t>ヘンケイ</t>
    </rPh>
    <phoneticPr fontId="1"/>
  </si>
  <si>
    <t>変形②</t>
    <rPh sb="0" eb="2">
      <t>ヘンケイ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</si>
</sst>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sz val="11"/>
      <color theme="1"/>
      <name val="游ゴシック"/>
      <family val="3"/>
      <charset val="128"/>
      <scheme val="minor"/>
    </font>
  </fonts>
  <fills count="5">
    <fill>
      <patternFill patternType="none"/>
    </fill>
    <fill>
      <patternFill patternType="gray125"/>
    </fill>
    <fill>
      <patternFill patternType="solid">
        <fgColor rgb="FFFFC000"/>
        <bgColor indexed="64"/>
      </patternFill>
    </fill>
    <fill>
      <patternFill patternType="solid">
        <fgColor theme="0" tint="-0.14999847407452621"/>
        <bgColor indexed="64"/>
      </patternFill>
    </fill>
    <fill>
      <patternFill patternType="solid">
        <fgColor rgb="FF92D050"/>
        <bgColor indexed="64"/>
      </patternFill>
    </fill>
  </fills>
  <borders count="1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right/>
      <top style="medium">
        <color indexed="64"/>
      </top>
      <bottom style="medium">
        <color indexed="64"/>
      </bottom>
      <diagonal/>
    </border>
  </borders>
  <cellStyleXfs count="1">
    <xf numFmtId="0" fontId="0" fillId="0" borderId="0">
      <alignment vertical="center"/>
    </xf>
  </cellStyleXfs>
  <cellXfs count="44">
    <xf numFmtId="0" fontId="0" fillId="0" borderId="0" xfId="0">
      <alignment vertical="center"/>
    </xf>
    <xf numFmtId="0" fontId="0" fillId="0" borderId="4" xfId="0" applyBorder="1" applyAlignment="1">
      <alignment horizontal="center" vertical="center"/>
    </xf>
    <xf numFmtId="0" fontId="0" fillId="0" borderId="6" xfId="0" applyBorder="1" applyAlignment="1">
      <alignment horizontal="center" vertical="center"/>
    </xf>
    <xf numFmtId="0" fontId="0" fillId="0" borderId="9" xfId="0" applyBorder="1" applyAlignment="1">
      <alignment horizontal="center" vertical="center"/>
    </xf>
    <xf numFmtId="0" fontId="0" fillId="0" borderId="1"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2" fillId="2" borderId="8" xfId="0" applyFont="1" applyFill="1" applyBorder="1" applyAlignment="1">
      <alignment horizontal="center" vertical="center"/>
    </xf>
    <xf numFmtId="0" fontId="2" fillId="2" borderId="1" xfId="0" applyFont="1" applyFill="1" applyBorder="1" applyAlignment="1">
      <alignment horizontal="center" vertical="center"/>
    </xf>
    <xf numFmtId="0" fontId="0" fillId="0" borderId="0" xfId="0" applyBorder="1" applyAlignment="1">
      <alignment horizontal="center" vertical="center"/>
    </xf>
    <xf numFmtId="0" fontId="0" fillId="0" borderId="0" xfId="0" applyBorder="1">
      <alignment vertical="center"/>
    </xf>
    <xf numFmtId="0" fontId="0" fillId="0" borderId="12" xfId="0" applyBorder="1">
      <alignment vertical="center"/>
    </xf>
    <xf numFmtId="0" fontId="2" fillId="2" borderId="11" xfId="0" applyFont="1" applyFill="1" applyBorder="1" applyAlignment="1">
      <alignment horizontal="center" vertical="center"/>
    </xf>
    <xf numFmtId="0" fontId="0" fillId="0" borderId="14" xfId="0" applyBorder="1" applyAlignment="1">
      <alignment horizontal="center" vertical="center"/>
    </xf>
    <xf numFmtId="0" fontId="0" fillId="3" borderId="2"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3" borderId="5" xfId="0" applyFill="1" applyBorder="1" applyAlignment="1">
      <alignment horizontal="center" vertical="center"/>
    </xf>
    <xf numFmtId="0" fontId="0" fillId="3" borderId="6" xfId="0" applyFill="1" applyBorder="1" applyAlignment="1">
      <alignment horizontal="center" vertical="center"/>
    </xf>
    <xf numFmtId="0" fontId="0" fillId="3" borderId="7" xfId="0" applyFill="1" applyBorder="1" applyAlignment="1">
      <alignment horizontal="center" vertical="center"/>
    </xf>
    <xf numFmtId="0" fontId="0" fillId="3" borderId="13" xfId="0" applyFill="1" applyBorder="1" applyAlignment="1">
      <alignment horizontal="center" vertical="center"/>
    </xf>
    <xf numFmtId="0" fontId="0" fillId="3" borderId="10" xfId="0" applyFill="1" applyBorder="1" applyAlignment="1">
      <alignment horizontal="center" vertical="center"/>
    </xf>
    <xf numFmtId="0" fontId="0" fillId="3" borderId="11" xfId="0" applyFill="1" applyBorder="1" applyAlignment="1">
      <alignment horizontal="center" vertical="center"/>
    </xf>
    <xf numFmtId="0" fontId="0" fillId="0" borderId="0" xfId="0" applyFill="1" applyBorder="1" applyAlignment="1">
      <alignment horizontal="center" vertical="center"/>
    </xf>
    <xf numFmtId="0" fontId="0" fillId="0" borderId="4" xfId="0" applyBorder="1">
      <alignment vertical="center"/>
    </xf>
    <xf numFmtId="0" fontId="0" fillId="0" borderId="6" xfId="0" applyBorder="1">
      <alignment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center" vertical="center"/>
    </xf>
    <xf numFmtId="0" fontId="0" fillId="0" borderId="7" xfId="0" applyBorder="1" applyAlignment="1">
      <alignment horizontal="center" vertical="center"/>
    </xf>
    <xf numFmtId="0" fontId="2" fillId="4" borderId="1" xfId="0" applyFont="1" applyFill="1" applyBorder="1" applyAlignment="1">
      <alignment horizontal="center" vertical="center"/>
    </xf>
    <xf numFmtId="0" fontId="2" fillId="4" borderId="14"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9" xfId="0" applyFont="1" applyFill="1" applyBorder="1" applyAlignment="1">
      <alignment horizontal="center" vertical="center"/>
    </xf>
    <xf numFmtId="0" fontId="0" fillId="0" borderId="10" xfId="0" applyBorder="1">
      <alignment vertical="center"/>
    </xf>
    <xf numFmtId="0" fontId="0" fillId="0" borderId="11" xfId="0" applyBorder="1">
      <alignment vertical="center"/>
    </xf>
    <xf numFmtId="0" fontId="3" fillId="0" borderId="7" xfId="0" applyFont="1" applyBorder="1" applyAlignment="1">
      <alignment horizontal="center" vertical="center"/>
    </xf>
    <xf numFmtId="0" fontId="3" fillId="0" borderId="9" xfId="0" applyFont="1" applyBorder="1" applyAlignment="1">
      <alignment horizontal="center" vertical="center"/>
    </xf>
    <xf numFmtId="0" fontId="2" fillId="4" borderId="11" xfId="0" applyFont="1" applyFill="1" applyBorder="1" applyAlignment="1">
      <alignment horizontal="center" vertical="center"/>
    </xf>
    <xf numFmtId="0" fontId="0" fillId="0" borderId="13" xfId="0" applyBorder="1" applyAlignment="1">
      <alignment horizontal="center" vertical="center"/>
    </xf>
    <xf numFmtId="0" fontId="3" fillId="0" borderId="14" xfId="0" applyFont="1" applyBorder="1" applyAlignment="1">
      <alignment horizontal="center" vertical="center"/>
    </xf>
    <xf numFmtId="0" fontId="2" fillId="2" borderId="9" xfId="0" applyFont="1" applyFill="1" applyBorder="1" applyAlignment="1">
      <alignment horizontal="center" vertical="center"/>
    </xf>
    <xf numFmtId="0" fontId="0" fillId="0" borderId="0" xfId="0"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【演習問題１】形を描く!$D$35</c:f>
              <c:strCache>
                <c:ptCount val="1"/>
                <c:pt idx="0">
                  <c:v>y</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Pt>
            <c:idx val="17"/>
            <c:marker>
              <c:symbol val="none"/>
            </c:marker>
            <c:bubble3D val="0"/>
            <c:spPr>
              <a:ln w="19050" cap="rnd">
                <a:noFill/>
                <a:round/>
              </a:ln>
              <a:effectLst/>
            </c:spPr>
            <c:extLst>
              <c:ext xmlns:c16="http://schemas.microsoft.com/office/drawing/2014/chart" uri="{C3380CC4-5D6E-409C-BE32-E72D297353CC}">
                <c16:uniqueId val="{00000002-9561-4434-B3E9-2FFF8296C66A}"/>
              </c:ext>
            </c:extLst>
          </c:dPt>
          <c:dPt>
            <c:idx val="18"/>
            <c:marker>
              <c:symbol val="none"/>
            </c:marker>
            <c:bubble3D val="0"/>
            <c:spPr>
              <a:ln w="19050" cap="rnd">
                <a:noFill/>
                <a:round/>
              </a:ln>
              <a:effectLst/>
            </c:spPr>
            <c:extLst>
              <c:ext xmlns:c16="http://schemas.microsoft.com/office/drawing/2014/chart" uri="{C3380CC4-5D6E-409C-BE32-E72D297353CC}">
                <c16:uniqueId val="{00000003-9561-4434-B3E9-2FFF8296C66A}"/>
              </c:ext>
            </c:extLst>
          </c:dPt>
          <c:dPt>
            <c:idx val="19"/>
            <c:marker>
              <c:symbol val="none"/>
            </c:marker>
            <c:bubble3D val="0"/>
            <c:spPr>
              <a:ln w="19050" cap="rnd">
                <a:noFill/>
                <a:round/>
              </a:ln>
              <a:effectLst/>
            </c:spPr>
            <c:extLst>
              <c:ext xmlns:c16="http://schemas.microsoft.com/office/drawing/2014/chart" uri="{C3380CC4-5D6E-409C-BE32-E72D297353CC}">
                <c16:uniqueId val="{00000004-9561-4434-B3E9-2FFF8296C66A}"/>
              </c:ext>
            </c:extLst>
          </c:dPt>
          <c:dPt>
            <c:idx val="20"/>
            <c:marker>
              <c:symbol val="none"/>
            </c:marker>
            <c:bubble3D val="0"/>
            <c:spPr>
              <a:ln w="19050" cap="rnd">
                <a:noFill/>
                <a:round/>
              </a:ln>
              <a:effectLst/>
            </c:spPr>
            <c:extLst>
              <c:ext xmlns:c16="http://schemas.microsoft.com/office/drawing/2014/chart" uri="{C3380CC4-5D6E-409C-BE32-E72D297353CC}">
                <c16:uniqueId val="{00000005-9561-4434-B3E9-2FFF8296C66A}"/>
              </c:ext>
            </c:extLst>
          </c:dPt>
          <c:xVal>
            <c:numRef>
              <c:f>【演習問題１】形を描く!$C$36:$C$56</c:f>
              <c:numCache>
                <c:formatCode>General</c:formatCode>
                <c:ptCount val="21"/>
                <c:pt idx="0">
                  <c:v>1</c:v>
                </c:pt>
                <c:pt idx="1">
                  <c:v>1</c:v>
                </c:pt>
                <c:pt idx="2">
                  <c:v>1</c:v>
                </c:pt>
                <c:pt idx="3">
                  <c:v>1</c:v>
                </c:pt>
                <c:pt idx="4">
                  <c:v>1</c:v>
                </c:pt>
                <c:pt idx="5">
                  <c:v>0.5</c:v>
                </c:pt>
                <c:pt idx="6">
                  <c:v>0</c:v>
                </c:pt>
                <c:pt idx="7">
                  <c:v>-0.5</c:v>
                </c:pt>
                <c:pt idx="8">
                  <c:v>-1</c:v>
                </c:pt>
                <c:pt idx="9">
                  <c:v>-1</c:v>
                </c:pt>
                <c:pt idx="10">
                  <c:v>-1</c:v>
                </c:pt>
                <c:pt idx="11">
                  <c:v>-1</c:v>
                </c:pt>
                <c:pt idx="12">
                  <c:v>-1</c:v>
                </c:pt>
                <c:pt idx="13">
                  <c:v>-0.5</c:v>
                </c:pt>
                <c:pt idx="14">
                  <c:v>0</c:v>
                </c:pt>
                <c:pt idx="15">
                  <c:v>0.5</c:v>
                </c:pt>
                <c:pt idx="16">
                  <c:v>1</c:v>
                </c:pt>
                <c:pt idx="17">
                  <c:v>2</c:v>
                </c:pt>
                <c:pt idx="18">
                  <c:v>2</c:v>
                </c:pt>
                <c:pt idx="19">
                  <c:v>-2</c:v>
                </c:pt>
                <c:pt idx="20">
                  <c:v>-2</c:v>
                </c:pt>
              </c:numCache>
            </c:numRef>
          </c:xVal>
          <c:yVal>
            <c:numRef>
              <c:f>【演習問題１】形を描く!$D$36:$D$56</c:f>
              <c:numCache>
                <c:formatCode>General</c:formatCode>
                <c:ptCount val="21"/>
                <c:pt idx="0">
                  <c:v>-1</c:v>
                </c:pt>
                <c:pt idx="1">
                  <c:v>-0.5</c:v>
                </c:pt>
                <c:pt idx="2">
                  <c:v>0</c:v>
                </c:pt>
                <c:pt idx="3">
                  <c:v>0.5</c:v>
                </c:pt>
                <c:pt idx="4">
                  <c:v>1</c:v>
                </c:pt>
                <c:pt idx="5">
                  <c:v>1</c:v>
                </c:pt>
                <c:pt idx="6">
                  <c:v>1</c:v>
                </c:pt>
                <c:pt idx="7">
                  <c:v>1</c:v>
                </c:pt>
                <c:pt idx="8">
                  <c:v>1</c:v>
                </c:pt>
                <c:pt idx="9">
                  <c:v>0.5</c:v>
                </c:pt>
                <c:pt idx="10">
                  <c:v>0</c:v>
                </c:pt>
                <c:pt idx="11">
                  <c:v>-0.5</c:v>
                </c:pt>
                <c:pt idx="12">
                  <c:v>-1</c:v>
                </c:pt>
                <c:pt idx="13">
                  <c:v>-1</c:v>
                </c:pt>
                <c:pt idx="14">
                  <c:v>-1</c:v>
                </c:pt>
                <c:pt idx="15">
                  <c:v>-1</c:v>
                </c:pt>
                <c:pt idx="16">
                  <c:v>-1</c:v>
                </c:pt>
                <c:pt idx="17">
                  <c:v>-2</c:v>
                </c:pt>
                <c:pt idx="18">
                  <c:v>2</c:v>
                </c:pt>
                <c:pt idx="19">
                  <c:v>2</c:v>
                </c:pt>
                <c:pt idx="20">
                  <c:v>-2</c:v>
                </c:pt>
              </c:numCache>
            </c:numRef>
          </c:yVal>
          <c:smooth val="0"/>
          <c:extLst>
            <c:ext xmlns:c16="http://schemas.microsoft.com/office/drawing/2014/chart" uri="{C3380CC4-5D6E-409C-BE32-E72D297353CC}">
              <c16:uniqueId val="{00000000-9561-4434-B3E9-2FFF8296C66A}"/>
            </c:ext>
          </c:extLst>
        </c:ser>
        <c:dLbls>
          <c:showLegendKey val="0"/>
          <c:showVal val="0"/>
          <c:showCatName val="0"/>
          <c:showSerName val="0"/>
          <c:showPercent val="0"/>
          <c:showBubbleSize val="0"/>
        </c:dLbls>
        <c:axId val="1189223432"/>
        <c:axId val="1189219824"/>
      </c:scatterChart>
      <c:valAx>
        <c:axId val="1189223432"/>
        <c:scaling>
          <c:orientation val="minMax"/>
        </c:scaling>
        <c:delete val="1"/>
        <c:axPos val="b"/>
        <c:numFmt formatCode="General" sourceLinked="1"/>
        <c:majorTickMark val="none"/>
        <c:minorTickMark val="none"/>
        <c:tickLblPos val="nextTo"/>
        <c:crossAx val="1189219824"/>
        <c:crosses val="autoZero"/>
        <c:crossBetween val="midCat"/>
      </c:valAx>
      <c:valAx>
        <c:axId val="1189219824"/>
        <c:scaling>
          <c:orientation val="minMax"/>
        </c:scaling>
        <c:delete val="1"/>
        <c:axPos val="l"/>
        <c:numFmt formatCode="General" sourceLinked="1"/>
        <c:majorTickMark val="none"/>
        <c:minorTickMark val="none"/>
        <c:tickLblPos val="nextTo"/>
        <c:crossAx val="118922343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'（解答）【演習問題１】形を描く '!$D$9</c:f>
              <c:strCache>
                <c:ptCount val="1"/>
                <c:pt idx="0">
                  <c:v>y</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'（解答）【演習問題１】形を描く '!$C$10:$C$26</c:f>
              <c:numCache>
                <c:formatCode>General</c:formatCode>
                <c:ptCount val="17"/>
                <c:pt idx="0">
                  <c:v>1</c:v>
                </c:pt>
                <c:pt idx="1">
                  <c:v>1</c:v>
                </c:pt>
                <c:pt idx="2">
                  <c:v>1</c:v>
                </c:pt>
                <c:pt idx="3">
                  <c:v>1</c:v>
                </c:pt>
                <c:pt idx="4">
                  <c:v>1</c:v>
                </c:pt>
                <c:pt idx="5">
                  <c:v>0.5</c:v>
                </c:pt>
                <c:pt idx="6">
                  <c:v>0</c:v>
                </c:pt>
                <c:pt idx="7">
                  <c:v>-0.5</c:v>
                </c:pt>
                <c:pt idx="8">
                  <c:v>-1</c:v>
                </c:pt>
                <c:pt idx="9">
                  <c:v>-1</c:v>
                </c:pt>
                <c:pt idx="10">
                  <c:v>-1</c:v>
                </c:pt>
                <c:pt idx="11">
                  <c:v>-1</c:v>
                </c:pt>
                <c:pt idx="12">
                  <c:v>-1</c:v>
                </c:pt>
                <c:pt idx="13">
                  <c:v>-0.5</c:v>
                </c:pt>
                <c:pt idx="14">
                  <c:v>0</c:v>
                </c:pt>
                <c:pt idx="15">
                  <c:v>0.5</c:v>
                </c:pt>
                <c:pt idx="16">
                  <c:v>1</c:v>
                </c:pt>
              </c:numCache>
            </c:numRef>
          </c:xVal>
          <c:yVal>
            <c:numRef>
              <c:f>'（解答）【演習問題１】形を描く '!$D$10:$D$26</c:f>
              <c:numCache>
                <c:formatCode>General</c:formatCode>
                <c:ptCount val="17"/>
                <c:pt idx="0">
                  <c:v>-1</c:v>
                </c:pt>
                <c:pt idx="1">
                  <c:v>-0.5</c:v>
                </c:pt>
                <c:pt idx="2">
                  <c:v>0</c:v>
                </c:pt>
                <c:pt idx="3">
                  <c:v>0.5</c:v>
                </c:pt>
                <c:pt idx="4">
                  <c:v>1</c:v>
                </c:pt>
                <c:pt idx="5">
                  <c:v>1</c:v>
                </c:pt>
                <c:pt idx="6">
                  <c:v>1</c:v>
                </c:pt>
                <c:pt idx="7">
                  <c:v>1</c:v>
                </c:pt>
                <c:pt idx="8">
                  <c:v>1</c:v>
                </c:pt>
                <c:pt idx="9">
                  <c:v>0.5</c:v>
                </c:pt>
                <c:pt idx="10">
                  <c:v>0</c:v>
                </c:pt>
                <c:pt idx="11">
                  <c:v>-0.5</c:v>
                </c:pt>
                <c:pt idx="12">
                  <c:v>-1</c:v>
                </c:pt>
                <c:pt idx="13">
                  <c:v>-1</c:v>
                </c:pt>
                <c:pt idx="14">
                  <c:v>-1</c:v>
                </c:pt>
                <c:pt idx="15">
                  <c:v>-1</c:v>
                </c:pt>
                <c:pt idx="16">
                  <c:v>-1</c:v>
                </c:pt>
              </c:numCache>
            </c:numRef>
          </c:yVal>
          <c:smooth val="0"/>
          <c:extLst>
            <c:ext xmlns:c16="http://schemas.microsoft.com/office/drawing/2014/chart" uri="{C3380CC4-5D6E-409C-BE32-E72D297353CC}">
              <c16:uniqueId val="{00000000-29F5-42FD-B8C6-F81398F19E2A}"/>
            </c:ext>
          </c:extLst>
        </c:ser>
        <c:dLbls>
          <c:showLegendKey val="0"/>
          <c:showVal val="0"/>
          <c:showCatName val="0"/>
          <c:showSerName val="0"/>
          <c:showPercent val="0"/>
          <c:showBubbleSize val="0"/>
        </c:dLbls>
        <c:axId val="901499016"/>
        <c:axId val="1028227856"/>
      </c:scatterChart>
      <c:valAx>
        <c:axId val="901499016"/>
        <c:scaling>
          <c:orientation val="minMax"/>
        </c:scaling>
        <c:delete val="1"/>
        <c:axPos val="b"/>
        <c:numFmt formatCode="General" sourceLinked="1"/>
        <c:majorTickMark val="none"/>
        <c:minorTickMark val="none"/>
        <c:tickLblPos val="nextTo"/>
        <c:crossAx val="1028227856"/>
        <c:crosses val="autoZero"/>
        <c:crossBetween val="midCat"/>
      </c:valAx>
      <c:valAx>
        <c:axId val="1028227856"/>
        <c:scaling>
          <c:orientation val="minMax"/>
        </c:scaling>
        <c:delete val="1"/>
        <c:axPos val="l"/>
        <c:numFmt formatCode="General" sourceLinked="1"/>
        <c:majorTickMark val="none"/>
        <c:minorTickMark val="none"/>
        <c:tickLblPos val="nextTo"/>
        <c:crossAx val="90149901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'（解答）【演習問題１】形を描く '!$D$35</c:f>
              <c:strCache>
                <c:ptCount val="1"/>
                <c:pt idx="0">
                  <c:v>y</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Pt>
            <c:idx val="17"/>
            <c:marker>
              <c:symbol val="none"/>
            </c:marker>
            <c:bubble3D val="0"/>
            <c:spPr>
              <a:ln w="19050" cap="rnd">
                <a:noFill/>
                <a:round/>
              </a:ln>
              <a:effectLst/>
            </c:spPr>
            <c:extLst>
              <c:ext xmlns:c16="http://schemas.microsoft.com/office/drawing/2014/chart" uri="{C3380CC4-5D6E-409C-BE32-E72D297353CC}">
                <c16:uniqueId val="{00000001-CFAA-4EDA-BB42-09823C30843A}"/>
              </c:ext>
            </c:extLst>
          </c:dPt>
          <c:dPt>
            <c:idx val="18"/>
            <c:marker>
              <c:symbol val="none"/>
            </c:marker>
            <c:bubble3D val="0"/>
            <c:spPr>
              <a:ln w="19050" cap="rnd">
                <a:noFill/>
                <a:round/>
              </a:ln>
              <a:effectLst/>
            </c:spPr>
            <c:extLst>
              <c:ext xmlns:c16="http://schemas.microsoft.com/office/drawing/2014/chart" uri="{C3380CC4-5D6E-409C-BE32-E72D297353CC}">
                <c16:uniqueId val="{00000003-CFAA-4EDA-BB42-09823C30843A}"/>
              </c:ext>
            </c:extLst>
          </c:dPt>
          <c:dPt>
            <c:idx val="19"/>
            <c:marker>
              <c:symbol val="none"/>
            </c:marker>
            <c:bubble3D val="0"/>
            <c:spPr>
              <a:ln w="19050" cap="rnd">
                <a:noFill/>
                <a:round/>
              </a:ln>
              <a:effectLst/>
            </c:spPr>
            <c:extLst>
              <c:ext xmlns:c16="http://schemas.microsoft.com/office/drawing/2014/chart" uri="{C3380CC4-5D6E-409C-BE32-E72D297353CC}">
                <c16:uniqueId val="{00000005-CFAA-4EDA-BB42-09823C30843A}"/>
              </c:ext>
            </c:extLst>
          </c:dPt>
          <c:dPt>
            <c:idx val="20"/>
            <c:marker>
              <c:symbol val="none"/>
            </c:marker>
            <c:bubble3D val="0"/>
            <c:spPr>
              <a:ln w="19050" cap="rnd">
                <a:noFill/>
                <a:round/>
              </a:ln>
              <a:effectLst/>
            </c:spPr>
            <c:extLst>
              <c:ext xmlns:c16="http://schemas.microsoft.com/office/drawing/2014/chart" uri="{C3380CC4-5D6E-409C-BE32-E72D297353CC}">
                <c16:uniqueId val="{00000007-CFAA-4EDA-BB42-09823C30843A}"/>
              </c:ext>
            </c:extLst>
          </c:dPt>
          <c:xVal>
            <c:numRef>
              <c:f>'（解答）【演習問題１】形を描く '!$C$36:$C$56</c:f>
              <c:numCache>
                <c:formatCode>General</c:formatCode>
                <c:ptCount val="21"/>
                <c:pt idx="0">
                  <c:v>1</c:v>
                </c:pt>
                <c:pt idx="1">
                  <c:v>1.4</c:v>
                </c:pt>
                <c:pt idx="2">
                  <c:v>1.2</c:v>
                </c:pt>
                <c:pt idx="3">
                  <c:v>0.7</c:v>
                </c:pt>
                <c:pt idx="4">
                  <c:v>1</c:v>
                </c:pt>
                <c:pt idx="5">
                  <c:v>0.5</c:v>
                </c:pt>
                <c:pt idx="6">
                  <c:v>0</c:v>
                </c:pt>
                <c:pt idx="7">
                  <c:v>-0.5</c:v>
                </c:pt>
                <c:pt idx="8">
                  <c:v>-1</c:v>
                </c:pt>
                <c:pt idx="9">
                  <c:v>-1.3</c:v>
                </c:pt>
                <c:pt idx="10">
                  <c:v>-0.8</c:v>
                </c:pt>
                <c:pt idx="11">
                  <c:v>-0.6</c:v>
                </c:pt>
                <c:pt idx="12">
                  <c:v>-1</c:v>
                </c:pt>
                <c:pt idx="13">
                  <c:v>-0.5</c:v>
                </c:pt>
                <c:pt idx="14">
                  <c:v>0</c:v>
                </c:pt>
                <c:pt idx="15">
                  <c:v>0.5</c:v>
                </c:pt>
                <c:pt idx="16">
                  <c:v>1</c:v>
                </c:pt>
                <c:pt idx="17">
                  <c:v>2</c:v>
                </c:pt>
                <c:pt idx="18">
                  <c:v>2</c:v>
                </c:pt>
                <c:pt idx="19">
                  <c:v>-2</c:v>
                </c:pt>
                <c:pt idx="20">
                  <c:v>-2</c:v>
                </c:pt>
              </c:numCache>
            </c:numRef>
          </c:xVal>
          <c:yVal>
            <c:numRef>
              <c:f>'（解答）【演習問題１】形を描く '!$D$36:$D$56</c:f>
              <c:numCache>
                <c:formatCode>General</c:formatCode>
                <c:ptCount val="21"/>
                <c:pt idx="0">
                  <c:v>-1</c:v>
                </c:pt>
                <c:pt idx="1">
                  <c:v>-0.5</c:v>
                </c:pt>
                <c:pt idx="2">
                  <c:v>0</c:v>
                </c:pt>
                <c:pt idx="3">
                  <c:v>0.5</c:v>
                </c:pt>
                <c:pt idx="4">
                  <c:v>1</c:v>
                </c:pt>
                <c:pt idx="5">
                  <c:v>1.7</c:v>
                </c:pt>
                <c:pt idx="6">
                  <c:v>1.4</c:v>
                </c:pt>
                <c:pt idx="7">
                  <c:v>0.7</c:v>
                </c:pt>
                <c:pt idx="8">
                  <c:v>1</c:v>
                </c:pt>
                <c:pt idx="9">
                  <c:v>0.5</c:v>
                </c:pt>
                <c:pt idx="10">
                  <c:v>0</c:v>
                </c:pt>
                <c:pt idx="11">
                  <c:v>-0.5</c:v>
                </c:pt>
                <c:pt idx="12">
                  <c:v>-1</c:v>
                </c:pt>
                <c:pt idx="13">
                  <c:v>-1.3</c:v>
                </c:pt>
                <c:pt idx="14">
                  <c:v>-0.6</c:v>
                </c:pt>
                <c:pt idx="15">
                  <c:v>-0.30000000000000004</c:v>
                </c:pt>
                <c:pt idx="16">
                  <c:v>-1</c:v>
                </c:pt>
                <c:pt idx="17">
                  <c:v>-2</c:v>
                </c:pt>
                <c:pt idx="18">
                  <c:v>2</c:v>
                </c:pt>
                <c:pt idx="19">
                  <c:v>2</c:v>
                </c:pt>
                <c:pt idx="20">
                  <c:v>-2</c:v>
                </c:pt>
              </c:numCache>
            </c:numRef>
          </c:yVal>
          <c:smooth val="0"/>
          <c:extLst>
            <c:ext xmlns:c16="http://schemas.microsoft.com/office/drawing/2014/chart" uri="{C3380CC4-5D6E-409C-BE32-E72D297353CC}">
              <c16:uniqueId val="{00000008-CFAA-4EDA-BB42-09823C30843A}"/>
            </c:ext>
          </c:extLst>
        </c:ser>
        <c:dLbls>
          <c:showLegendKey val="0"/>
          <c:showVal val="0"/>
          <c:showCatName val="0"/>
          <c:showSerName val="0"/>
          <c:showPercent val="0"/>
          <c:showBubbleSize val="0"/>
        </c:dLbls>
        <c:axId val="1189223432"/>
        <c:axId val="1189219824"/>
      </c:scatterChart>
      <c:valAx>
        <c:axId val="1189223432"/>
        <c:scaling>
          <c:orientation val="minMax"/>
        </c:scaling>
        <c:delete val="1"/>
        <c:axPos val="b"/>
        <c:numFmt formatCode="General" sourceLinked="1"/>
        <c:majorTickMark val="none"/>
        <c:minorTickMark val="none"/>
        <c:tickLblPos val="nextTo"/>
        <c:crossAx val="1189219824"/>
        <c:crosses val="autoZero"/>
        <c:crossBetween val="midCat"/>
      </c:valAx>
      <c:valAx>
        <c:axId val="1189219824"/>
        <c:scaling>
          <c:orientation val="minMax"/>
        </c:scaling>
        <c:delete val="1"/>
        <c:axPos val="l"/>
        <c:numFmt formatCode="General" sourceLinked="1"/>
        <c:majorTickMark val="none"/>
        <c:minorTickMark val="none"/>
        <c:tickLblPos val="nextTo"/>
        <c:crossAx val="118922343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dLbls>
          <c:showLegendKey val="0"/>
          <c:showVal val="0"/>
          <c:showCatName val="0"/>
          <c:showSerName val="0"/>
          <c:showPercent val="0"/>
          <c:showBubbleSize val="0"/>
        </c:dLbls>
        <c:axId val="680532552"/>
        <c:axId val="680528288"/>
      </c:scatterChart>
      <c:valAx>
        <c:axId val="680532552"/>
        <c:scaling>
          <c:orientation val="minMax"/>
        </c:scaling>
        <c:delete val="1"/>
        <c:axPos val="b"/>
        <c:numFmt formatCode="General" sourceLinked="1"/>
        <c:majorTickMark val="none"/>
        <c:minorTickMark val="none"/>
        <c:tickLblPos val="nextTo"/>
        <c:crossAx val="680528288"/>
        <c:crosses val="autoZero"/>
        <c:crossBetween val="midCat"/>
      </c:valAx>
      <c:valAx>
        <c:axId val="680528288"/>
        <c:scaling>
          <c:orientation val="minMax"/>
        </c:scaling>
        <c:delete val="1"/>
        <c:axPos val="l"/>
        <c:numFmt formatCode="General" sourceLinked="1"/>
        <c:majorTickMark val="none"/>
        <c:minorTickMark val="none"/>
        <c:tickLblPos val="nextTo"/>
        <c:crossAx val="68053255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【演習問題２】タイリング!$C$8</c:f>
              <c:strCache>
                <c:ptCount val="1"/>
                <c:pt idx="0">
                  <c:v>y</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Pt>
            <c:idx val="17"/>
            <c:marker>
              <c:symbol val="none"/>
            </c:marker>
            <c:bubble3D val="0"/>
            <c:spPr>
              <a:ln w="19050" cap="rnd">
                <a:noFill/>
                <a:round/>
              </a:ln>
              <a:effectLst/>
            </c:spPr>
            <c:extLst>
              <c:ext xmlns:c16="http://schemas.microsoft.com/office/drawing/2014/chart" uri="{C3380CC4-5D6E-409C-BE32-E72D297353CC}">
                <c16:uniqueId val="{00000002-0B66-4C71-84C9-1C4290FE5B49}"/>
              </c:ext>
            </c:extLst>
          </c:dPt>
          <c:dPt>
            <c:idx val="18"/>
            <c:marker>
              <c:symbol val="none"/>
            </c:marker>
            <c:bubble3D val="0"/>
            <c:spPr>
              <a:ln w="19050" cap="rnd">
                <a:noFill/>
                <a:round/>
              </a:ln>
              <a:effectLst/>
            </c:spPr>
            <c:extLst>
              <c:ext xmlns:c16="http://schemas.microsoft.com/office/drawing/2014/chart" uri="{C3380CC4-5D6E-409C-BE32-E72D297353CC}">
                <c16:uniqueId val="{00000003-0B66-4C71-84C9-1C4290FE5B49}"/>
              </c:ext>
            </c:extLst>
          </c:dPt>
          <c:dPt>
            <c:idx val="19"/>
            <c:marker>
              <c:symbol val="none"/>
            </c:marker>
            <c:bubble3D val="0"/>
            <c:spPr>
              <a:ln w="19050" cap="rnd">
                <a:noFill/>
                <a:round/>
              </a:ln>
              <a:effectLst/>
            </c:spPr>
            <c:extLst>
              <c:ext xmlns:c16="http://schemas.microsoft.com/office/drawing/2014/chart" uri="{C3380CC4-5D6E-409C-BE32-E72D297353CC}">
                <c16:uniqueId val="{00000004-0B66-4C71-84C9-1C4290FE5B49}"/>
              </c:ext>
            </c:extLst>
          </c:dPt>
          <c:dPt>
            <c:idx val="20"/>
            <c:marker>
              <c:symbol val="none"/>
            </c:marker>
            <c:bubble3D val="0"/>
            <c:spPr>
              <a:ln w="19050" cap="rnd">
                <a:noFill/>
                <a:round/>
              </a:ln>
              <a:effectLst/>
            </c:spPr>
            <c:extLst>
              <c:ext xmlns:c16="http://schemas.microsoft.com/office/drawing/2014/chart" uri="{C3380CC4-5D6E-409C-BE32-E72D297353CC}">
                <c16:uniqueId val="{00000005-0B66-4C71-84C9-1C4290FE5B49}"/>
              </c:ext>
            </c:extLst>
          </c:dPt>
          <c:xVal>
            <c:numRef>
              <c:f>【演習問題２】タイリング!$B$9:$B$29</c:f>
              <c:numCache>
                <c:formatCode>General</c:formatCode>
                <c:ptCount val="21"/>
                <c:pt idx="0">
                  <c:v>1</c:v>
                </c:pt>
                <c:pt idx="1">
                  <c:v>1</c:v>
                </c:pt>
                <c:pt idx="2">
                  <c:v>1</c:v>
                </c:pt>
                <c:pt idx="3">
                  <c:v>1</c:v>
                </c:pt>
                <c:pt idx="4">
                  <c:v>1</c:v>
                </c:pt>
                <c:pt idx="5">
                  <c:v>0.5</c:v>
                </c:pt>
                <c:pt idx="6">
                  <c:v>0</c:v>
                </c:pt>
                <c:pt idx="7">
                  <c:v>-0.5</c:v>
                </c:pt>
                <c:pt idx="8">
                  <c:v>-1</c:v>
                </c:pt>
                <c:pt idx="9">
                  <c:v>-1</c:v>
                </c:pt>
                <c:pt idx="10">
                  <c:v>-1</c:v>
                </c:pt>
                <c:pt idx="11">
                  <c:v>-1</c:v>
                </c:pt>
                <c:pt idx="12">
                  <c:v>-1</c:v>
                </c:pt>
                <c:pt idx="13">
                  <c:v>-0.5</c:v>
                </c:pt>
                <c:pt idx="14">
                  <c:v>0</c:v>
                </c:pt>
                <c:pt idx="15">
                  <c:v>0.5</c:v>
                </c:pt>
                <c:pt idx="16">
                  <c:v>1</c:v>
                </c:pt>
                <c:pt idx="17">
                  <c:v>2</c:v>
                </c:pt>
                <c:pt idx="18">
                  <c:v>-2</c:v>
                </c:pt>
                <c:pt idx="19">
                  <c:v>-2</c:v>
                </c:pt>
                <c:pt idx="20">
                  <c:v>2</c:v>
                </c:pt>
              </c:numCache>
            </c:numRef>
          </c:xVal>
          <c:yVal>
            <c:numRef>
              <c:f>【演習問題２】タイリング!$C$9:$C$29</c:f>
              <c:numCache>
                <c:formatCode>General</c:formatCode>
                <c:ptCount val="21"/>
                <c:pt idx="0">
                  <c:v>-1</c:v>
                </c:pt>
                <c:pt idx="1">
                  <c:v>-0.5</c:v>
                </c:pt>
                <c:pt idx="2">
                  <c:v>0</c:v>
                </c:pt>
                <c:pt idx="3">
                  <c:v>0.5</c:v>
                </c:pt>
                <c:pt idx="4">
                  <c:v>1</c:v>
                </c:pt>
                <c:pt idx="5">
                  <c:v>1</c:v>
                </c:pt>
                <c:pt idx="6">
                  <c:v>1</c:v>
                </c:pt>
                <c:pt idx="7">
                  <c:v>1</c:v>
                </c:pt>
                <c:pt idx="8">
                  <c:v>1</c:v>
                </c:pt>
                <c:pt idx="9">
                  <c:v>0.5</c:v>
                </c:pt>
                <c:pt idx="10">
                  <c:v>0</c:v>
                </c:pt>
                <c:pt idx="11">
                  <c:v>-0.5</c:v>
                </c:pt>
                <c:pt idx="12">
                  <c:v>-1</c:v>
                </c:pt>
                <c:pt idx="13">
                  <c:v>-1</c:v>
                </c:pt>
                <c:pt idx="14">
                  <c:v>-1</c:v>
                </c:pt>
                <c:pt idx="15">
                  <c:v>-1</c:v>
                </c:pt>
                <c:pt idx="16">
                  <c:v>-1</c:v>
                </c:pt>
                <c:pt idx="17">
                  <c:v>2</c:v>
                </c:pt>
                <c:pt idx="18">
                  <c:v>2</c:v>
                </c:pt>
                <c:pt idx="19">
                  <c:v>-2</c:v>
                </c:pt>
                <c:pt idx="20">
                  <c:v>-2</c:v>
                </c:pt>
              </c:numCache>
            </c:numRef>
          </c:yVal>
          <c:smooth val="0"/>
          <c:extLst>
            <c:ext xmlns:c16="http://schemas.microsoft.com/office/drawing/2014/chart" uri="{C3380CC4-5D6E-409C-BE32-E72D297353CC}">
              <c16:uniqueId val="{00000000-0B66-4C71-84C9-1C4290FE5B49}"/>
            </c:ext>
          </c:extLst>
        </c:ser>
        <c:dLbls>
          <c:showLegendKey val="0"/>
          <c:showVal val="0"/>
          <c:showCatName val="0"/>
          <c:showSerName val="0"/>
          <c:showPercent val="0"/>
          <c:showBubbleSize val="0"/>
        </c:dLbls>
        <c:axId val="997767376"/>
        <c:axId val="997771968"/>
      </c:scatterChart>
      <c:valAx>
        <c:axId val="997767376"/>
        <c:scaling>
          <c:orientation val="minMax"/>
        </c:scaling>
        <c:delete val="1"/>
        <c:axPos val="b"/>
        <c:numFmt formatCode="General" sourceLinked="1"/>
        <c:majorTickMark val="none"/>
        <c:minorTickMark val="none"/>
        <c:tickLblPos val="nextTo"/>
        <c:crossAx val="997771968"/>
        <c:crosses val="autoZero"/>
        <c:crossBetween val="midCat"/>
      </c:valAx>
      <c:valAx>
        <c:axId val="997771968"/>
        <c:scaling>
          <c:orientation val="minMax"/>
        </c:scaling>
        <c:delete val="1"/>
        <c:axPos val="l"/>
        <c:numFmt formatCode="General" sourceLinked="1"/>
        <c:majorTickMark val="none"/>
        <c:minorTickMark val="none"/>
        <c:tickLblPos val="nextTo"/>
        <c:crossAx val="9977673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'（解答）【演習問題２】タイリング'!$C$8</c:f>
              <c:strCache>
                <c:ptCount val="1"/>
                <c:pt idx="0">
                  <c:v>y</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Pt>
            <c:idx val="17"/>
            <c:marker>
              <c:symbol val="none"/>
            </c:marker>
            <c:bubble3D val="0"/>
            <c:spPr>
              <a:ln w="19050" cap="rnd">
                <a:noFill/>
                <a:round/>
              </a:ln>
              <a:effectLst/>
            </c:spPr>
            <c:extLst>
              <c:ext xmlns:c16="http://schemas.microsoft.com/office/drawing/2014/chart" uri="{C3380CC4-5D6E-409C-BE32-E72D297353CC}">
                <c16:uniqueId val="{00000001-C30D-42FF-B880-485B99AAB6CE}"/>
              </c:ext>
            </c:extLst>
          </c:dPt>
          <c:dPt>
            <c:idx val="18"/>
            <c:marker>
              <c:symbol val="none"/>
            </c:marker>
            <c:bubble3D val="0"/>
            <c:spPr>
              <a:ln w="19050" cap="rnd">
                <a:noFill/>
                <a:round/>
              </a:ln>
              <a:effectLst/>
            </c:spPr>
            <c:extLst>
              <c:ext xmlns:c16="http://schemas.microsoft.com/office/drawing/2014/chart" uri="{C3380CC4-5D6E-409C-BE32-E72D297353CC}">
                <c16:uniqueId val="{00000003-C30D-42FF-B880-485B99AAB6CE}"/>
              </c:ext>
            </c:extLst>
          </c:dPt>
          <c:dPt>
            <c:idx val="19"/>
            <c:marker>
              <c:symbol val="none"/>
            </c:marker>
            <c:bubble3D val="0"/>
            <c:spPr>
              <a:ln w="19050" cap="rnd">
                <a:noFill/>
                <a:round/>
              </a:ln>
              <a:effectLst/>
            </c:spPr>
            <c:extLst>
              <c:ext xmlns:c16="http://schemas.microsoft.com/office/drawing/2014/chart" uri="{C3380CC4-5D6E-409C-BE32-E72D297353CC}">
                <c16:uniqueId val="{00000005-C30D-42FF-B880-485B99AAB6CE}"/>
              </c:ext>
            </c:extLst>
          </c:dPt>
          <c:dPt>
            <c:idx val="20"/>
            <c:marker>
              <c:symbol val="none"/>
            </c:marker>
            <c:bubble3D val="0"/>
            <c:spPr>
              <a:ln w="19050" cap="rnd">
                <a:noFill/>
                <a:round/>
              </a:ln>
              <a:effectLst/>
            </c:spPr>
            <c:extLst>
              <c:ext xmlns:c16="http://schemas.microsoft.com/office/drawing/2014/chart" uri="{C3380CC4-5D6E-409C-BE32-E72D297353CC}">
                <c16:uniqueId val="{00000007-C30D-42FF-B880-485B99AAB6CE}"/>
              </c:ext>
            </c:extLst>
          </c:dPt>
          <c:xVal>
            <c:numRef>
              <c:f>'（解答）【演習問題２】タイリング'!$B$9:$B$29</c:f>
              <c:numCache>
                <c:formatCode>General</c:formatCode>
                <c:ptCount val="21"/>
                <c:pt idx="0">
                  <c:v>1</c:v>
                </c:pt>
                <c:pt idx="1">
                  <c:v>1.6</c:v>
                </c:pt>
                <c:pt idx="2">
                  <c:v>1.5</c:v>
                </c:pt>
                <c:pt idx="3">
                  <c:v>1.4</c:v>
                </c:pt>
                <c:pt idx="4">
                  <c:v>1</c:v>
                </c:pt>
                <c:pt idx="5">
                  <c:v>0.5</c:v>
                </c:pt>
                <c:pt idx="6">
                  <c:v>0</c:v>
                </c:pt>
                <c:pt idx="7">
                  <c:v>-0.5</c:v>
                </c:pt>
                <c:pt idx="8">
                  <c:v>-1</c:v>
                </c:pt>
                <c:pt idx="9">
                  <c:v>-0.6</c:v>
                </c:pt>
                <c:pt idx="10">
                  <c:v>-0.5</c:v>
                </c:pt>
                <c:pt idx="11">
                  <c:v>-0.4</c:v>
                </c:pt>
                <c:pt idx="12">
                  <c:v>-1</c:v>
                </c:pt>
                <c:pt idx="13">
                  <c:v>-0.5</c:v>
                </c:pt>
                <c:pt idx="14">
                  <c:v>0</c:v>
                </c:pt>
                <c:pt idx="15">
                  <c:v>0.5</c:v>
                </c:pt>
                <c:pt idx="16">
                  <c:v>1</c:v>
                </c:pt>
                <c:pt idx="17">
                  <c:v>2</c:v>
                </c:pt>
                <c:pt idx="18">
                  <c:v>-2</c:v>
                </c:pt>
                <c:pt idx="19">
                  <c:v>-2</c:v>
                </c:pt>
                <c:pt idx="20">
                  <c:v>2</c:v>
                </c:pt>
              </c:numCache>
            </c:numRef>
          </c:xVal>
          <c:yVal>
            <c:numRef>
              <c:f>'（解答）【演習問題２】タイリング'!$C$9:$C$29</c:f>
              <c:numCache>
                <c:formatCode>General</c:formatCode>
                <c:ptCount val="21"/>
                <c:pt idx="0">
                  <c:v>-1</c:v>
                </c:pt>
                <c:pt idx="1">
                  <c:v>-0.5</c:v>
                </c:pt>
                <c:pt idx="2">
                  <c:v>0</c:v>
                </c:pt>
                <c:pt idx="3">
                  <c:v>0.5</c:v>
                </c:pt>
                <c:pt idx="4">
                  <c:v>1</c:v>
                </c:pt>
                <c:pt idx="5">
                  <c:v>1.3</c:v>
                </c:pt>
                <c:pt idx="6">
                  <c:v>1.2</c:v>
                </c:pt>
                <c:pt idx="7">
                  <c:v>1.1000000000000001</c:v>
                </c:pt>
                <c:pt idx="8">
                  <c:v>1</c:v>
                </c:pt>
                <c:pt idx="9">
                  <c:v>0.5</c:v>
                </c:pt>
                <c:pt idx="10">
                  <c:v>0</c:v>
                </c:pt>
                <c:pt idx="11">
                  <c:v>-0.5</c:v>
                </c:pt>
                <c:pt idx="12">
                  <c:v>-1</c:v>
                </c:pt>
                <c:pt idx="13">
                  <c:v>-0.9</c:v>
                </c:pt>
                <c:pt idx="14">
                  <c:v>-0.8</c:v>
                </c:pt>
                <c:pt idx="15">
                  <c:v>-0.7</c:v>
                </c:pt>
                <c:pt idx="16">
                  <c:v>-1</c:v>
                </c:pt>
                <c:pt idx="17">
                  <c:v>2</c:v>
                </c:pt>
                <c:pt idx="18">
                  <c:v>2</c:v>
                </c:pt>
                <c:pt idx="19">
                  <c:v>-2</c:v>
                </c:pt>
                <c:pt idx="20">
                  <c:v>-2</c:v>
                </c:pt>
              </c:numCache>
            </c:numRef>
          </c:yVal>
          <c:smooth val="0"/>
          <c:extLst>
            <c:ext xmlns:c16="http://schemas.microsoft.com/office/drawing/2014/chart" uri="{C3380CC4-5D6E-409C-BE32-E72D297353CC}">
              <c16:uniqueId val="{00000008-C30D-42FF-B880-485B99AAB6CE}"/>
            </c:ext>
          </c:extLst>
        </c:ser>
        <c:dLbls>
          <c:showLegendKey val="0"/>
          <c:showVal val="0"/>
          <c:showCatName val="0"/>
          <c:showSerName val="0"/>
          <c:showPercent val="0"/>
          <c:showBubbleSize val="0"/>
        </c:dLbls>
        <c:axId val="680532552"/>
        <c:axId val="680528288"/>
      </c:scatterChart>
      <c:valAx>
        <c:axId val="680532552"/>
        <c:scaling>
          <c:orientation val="minMax"/>
        </c:scaling>
        <c:delete val="1"/>
        <c:axPos val="b"/>
        <c:numFmt formatCode="General" sourceLinked="1"/>
        <c:majorTickMark val="none"/>
        <c:minorTickMark val="none"/>
        <c:tickLblPos val="nextTo"/>
        <c:crossAx val="680528288"/>
        <c:crosses val="autoZero"/>
        <c:crossBetween val="midCat"/>
      </c:valAx>
      <c:valAx>
        <c:axId val="680528288"/>
        <c:scaling>
          <c:orientation val="minMax"/>
        </c:scaling>
        <c:delete val="1"/>
        <c:axPos val="l"/>
        <c:numFmt formatCode="General" sourceLinked="1"/>
        <c:majorTickMark val="none"/>
        <c:minorTickMark val="none"/>
        <c:tickLblPos val="nextTo"/>
        <c:crossAx val="68053255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'（解答）【演習問題２】タイリング'!$C$8</c:f>
              <c:strCache>
                <c:ptCount val="1"/>
                <c:pt idx="0">
                  <c:v>y</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Pt>
            <c:idx val="17"/>
            <c:marker>
              <c:symbol val="none"/>
            </c:marker>
            <c:bubble3D val="0"/>
            <c:spPr>
              <a:ln w="19050" cap="rnd">
                <a:noFill/>
                <a:round/>
              </a:ln>
              <a:effectLst/>
            </c:spPr>
            <c:extLst>
              <c:ext xmlns:c16="http://schemas.microsoft.com/office/drawing/2014/chart" uri="{C3380CC4-5D6E-409C-BE32-E72D297353CC}">
                <c16:uniqueId val="{00000001-4E82-4103-A921-0BBEAA8D177A}"/>
              </c:ext>
            </c:extLst>
          </c:dPt>
          <c:dPt>
            <c:idx val="18"/>
            <c:marker>
              <c:symbol val="none"/>
            </c:marker>
            <c:bubble3D val="0"/>
            <c:spPr>
              <a:ln w="19050" cap="rnd">
                <a:noFill/>
                <a:round/>
              </a:ln>
              <a:effectLst/>
            </c:spPr>
            <c:extLst>
              <c:ext xmlns:c16="http://schemas.microsoft.com/office/drawing/2014/chart" uri="{C3380CC4-5D6E-409C-BE32-E72D297353CC}">
                <c16:uniqueId val="{00000003-4E82-4103-A921-0BBEAA8D177A}"/>
              </c:ext>
            </c:extLst>
          </c:dPt>
          <c:dPt>
            <c:idx val="19"/>
            <c:marker>
              <c:symbol val="none"/>
            </c:marker>
            <c:bubble3D val="0"/>
            <c:spPr>
              <a:ln w="19050" cap="rnd">
                <a:noFill/>
                <a:round/>
              </a:ln>
              <a:effectLst/>
            </c:spPr>
            <c:extLst>
              <c:ext xmlns:c16="http://schemas.microsoft.com/office/drawing/2014/chart" uri="{C3380CC4-5D6E-409C-BE32-E72D297353CC}">
                <c16:uniqueId val="{00000005-4E82-4103-A921-0BBEAA8D177A}"/>
              </c:ext>
            </c:extLst>
          </c:dPt>
          <c:dPt>
            <c:idx val="20"/>
            <c:marker>
              <c:symbol val="none"/>
            </c:marker>
            <c:bubble3D val="0"/>
            <c:spPr>
              <a:ln w="19050" cap="rnd">
                <a:noFill/>
                <a:round/>
              </a:ln>
              <a:effectLst/>
            </c:spPr>
            <c:extLst>
              <c:ext xmlns:c16="http://schemas.microsoft.com/office/drawing/2014/chart" uri="{C3380CC4-5D6E-409C-BE32-E72D297353CC}">
                <c16:uniqueId val="{00000007-4E82-4103-A921-0BBEAA8D177A}"/>
              </c:ext>
            </c:extLst>
          </c:dPt>
          <c:xVal>
            <c:numRef>
              <c:f>'（解答）【演習問題２】タイリング'!$B$9:$B$29</c:f>
              <c:numCache>
                <c:formatCode>General</c:formatCode>
                <c:ptCount val="21"/>
                <c:pt idx="0">
                  <c:v>1</c:v>
                </c:pt>
                <c:pt idx="1">
                  <c:v>1.6</c:v>
                </c:pt>
                <c:pt idx="2">
                  <c:v>1.5</c:v>
                </c:pt>
                <c:pt idx="3">
                  <c:v>1.4</c:v>
                </c:pt>
                <c:pt idx="4">
                  <c:v>1</c:v>
                </c:pt>
                <c:pt idx="5">
                  <c:v>0.5</c:v>
                </c:pt>
                <c:pt idx="6">
                  <c:v>0</c:v>
                </c:pt>
                <c:pt idx="7">
                  <c:v>-0.5</c:v>
                </c:pt>
                <c:pt idx="8">
                  <c:v>-1</c:v>
                </c:pt>
                <c:pt idx="9">
                  <c:v>-0.6</c:v>
                </c:pt>
                <c:pt idx="10">
                  <c:v>-0.5</c:v>
                </c:pt>
                <c:pt idx="11">
                  <c:v>-0.4</c:v>
                </c:pt>
                <c:pt idx="12">
                  <c:v>-1</c:v>
                </c:pt>
                <c:pt idx="13">
                  <c:v>-0.5</c:v>
                </c:pt>
                <c:pt idx="14">
                  <c:v>0</c:v>
                </c:pt>
                <c:pt idx="15">
                  <c:v>0.5</c:v>
                </c:pt>
                <c:pt idx="16">
                  <c:v>1</c:v>
                </c:pt>
                <c:pt idx="17">
                  <c:v>2</c:v>
                </c:pt>
                <c:pt idx="18">
                  <c:v>-2</c:v>
                </c:pt>
                <c:pt idx="19">
                  <c:v>-2</c:v>
                </c:pt>
                <c:pt idx="20">
                  <c:v>2</c:v>
                </c:pt>
              </c:numCache>
            </c:numRef>
          </c:xVal>
          <c:yVal>
            <c:numRef>
              <c:f>'（解答）【演習問題２】タイリング'!$C$9:$C$29</c:f>
              <c:numCache>
                <c:formatCode>General</c:formatCode>
                <c:ptCount val="21"/>
                <c:pt idx="0">
                  <c:v>-1</c:v>
                </c:pt>
                <c:pt idx="1">
                  <c:v>-0.5</c:v>
                </c:pt>
                <c:pt idx="2">
                  <c:v>0</c:v>
                </c:pt>
                <c:pt idx="3">
                  <c:v>0.5</c:v>
                </c:pt>
                <c:pt idx="4">
                  <c:v>1</c:v>
                </c:pt>
                <c:pt idx="5">
                  <c:v>1.3</c:v>
                </c:pt>
                <c:pt idx="6">
                  <c:v>1.2</c:v>
                </c:pt>
                <c:pt idx="7">
                  <c:v>1.1000000000000001</c:v>
                </c:pt>
                <c:pt idx="8">
                  <c:v>1</c:v>
                </c:pt>
                <c:pt idx="9">
                  <c:v>0.5</c:v>
                </c:pt>
                <c:pt idx="10">
                  <c:v>0</c:v>
                </c:pt>
                <c:pt idx="11">
                  <c:v>-0.5</c:v>
                </c:pt>
                <c:pt idx="12">
                  <c:v>-1</c:v>
                </c:pt>
                <c:pt idx="13">
                  <c:v>-0.9</c:v>
                </c:pt>
                <c:pt idx="14">
                  <c:v>-0.8</c:v>
                </c:pt>
                <c:pt idx="15">
                  <c:v>-0.7</c:v>
                </c:pt>
                <c:pt idx="16">
                  <c:v>-1</c:v>
                </c:pt>
                <c:pt idx="17">
                  <c:v>2</c:v>
                </c:pt>
                <c:pt idx="18">
                  <c:v>2</c:v>
                </c:pt>
                <c:pt idx="19">
                  <c:v>-2</c:v>
                </c:pt>
                <c:pt idx="20">
                  <c:v>-2</c:v>
                </c:pt>
              </c:numCache>
            </c:numRef>
          </c:yVal>
          <c:smooth val="0"/>
          <c:extLst>
            <c:ext xmlns:c16="http://schemas.microsoft.com/office/drawing/2014/chart" uri="{C3380CC4-5D6E-409C-BE32-E72D297353CC}">
              <c16:uniqueId val="{00000008-4E82-4103-A921-0BBEAA8D177A}"/>
            </c:ext>
          </c:extLst>
        </c:ser>
        <c:dLbls>
          <c:showLegendKey val="0"/>
          <c:showVal val="0"/>
          <c:showCatName val="0"/>
          <c:showSerName val="0"/>
          <c:showPercent val="0"/>
          <c:showBubbleSize val="0"/>
        </c:dLbls>
        <c:axId val="680532552"/>
        <c:axId val="680528288"/>
      </c:scatterChart>
      <c:valAx>
        <c:axId val="680532552"/>
        <c:scaling>
          <c:orientation val="minMax"/>
        </c:scaling>
        <c:delete val="1"/>
        <c:axPos val="b"/>
        <c:numFmt formatCode="General" sourceLinked="1"/>
        <c:majorTickMark val="none"/>
        <c:minorTickMark val="none"/>
        <c:tickLblPos val="nextTo"/>
        <c:crossAx val="680528288"/>
        <c:crosses val="autoZero"/>
        <c:crossBetween val="midCat"/>
      </c:valAx>
      <c:valAx>
        <c:axId val="680528288"/>
        <c:scaling>
          <c:orientation val="minMax"/>
        </c:scaling>
        <c:delete val="1"/>
        <c:axPos val="l"/>
        <c:numFmt formatCode="General" sourceLinked="1"/>
        <c:majorTickMark val="none"/>
        <c:minorTickMark val="none"/>
        <c:tickLblPos val="nextTo"/>
        <c:crossAx val="68053255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'（解答）【演習問題２】タイリング'!$C$8</c:f>
              <c:strCache>
                <c:ptCount val="1"/>
                <c:pt idx="0">
                  <c:v>y</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Pt>
            <c:idx val="17"/>
            <c:marker>
              <c:symbol val="none"/>
            </c:marker>
            <c:bubble3D val="0"/>
            <c:spPr>
              <a:ln w="19050" cap="rnd">
                <a:noFill/>
                <a:round/>
              </a:ln>
              <a:effectLst/>
            </c:spPr>
            <c:extLst>
              <c:ext xmlns:c16="http://schemas.microsoft.com/office/drawing/2014/chart" uri="{C3380CC4-5D6E-409C-BE32-E72D297353CC}">
                <c16:uniqueId val="{00000001-1900-4B70-ACBD-C62FA40A10FA}"/>
              </c:ext>
            </c:extLst>
          </c:dPt>
          <c:dPt>
            <c:idx val="18"/>
            <c:marker>
              <c:symbol val="none"/>
            </c:marker>
            <c:bubble3D val="0"/>
            <c:spPr>
              <a:ln w="19050" cap="rnd">
                <a:noFill/>
                <a:round/>
              </a:ln>
              <a:effectLst/>
            </c:spPr>
            <c:extLst>
              <c:ext xmlns:c16="http://schemas.microsoft.com/office/drawing/2014/chart" uri="{C3380CC4-5D6E-409C-BE32-E72D297353CC}">
                <c16:uniqueId val="{00000003-1900-4B70-ACBD-C62FA40A10FA}"/>
              </c:ext>
            </c:extLst>
          </c:dPt>
          <c:dPt>
            <c:idx val="19"/>
            <c:marker>
              <c:symbol val="none"/>
            </c:marker>
            <c:bubble3D val="0"/>
            <c:spPr>
              <a:ln w="19050" cap="rnd">
                <a:noFill/>
                <a:round/>
              </a:ln>
              <a:effectLst/>
            </c:spPr>
            <c:extLst>
              <c:ext xmlns:c16="http://schemas.microsoft.com/office/drawing/2014/chart" uri="{C3380CC4-5D6E-409C-BE32-E72D297353CC}">
                <c16:uniqueId val="{00000005-1900-4B70-ACBD-C62FA40A10FA}"/>
              </c:ext>
            </c:extLst>
          </c:dPt>
          <c:dPt>
            <c:idx val="20"/>
            <c:marker>
              <c:symbol val="none"/>
            </c:marker>
            <c:bubble3D val="0"/>
            <c:spPr>
              <a:ln w="19050" cap="rnd">
                <a:noFill/>
                <a:round/>
              </a:ln>
              <a:effectLst/>
            </c:spPr>
            <c:extLst>
              <c:ext xmlns:c16="http://schemas.microsoft.com/office/drawing/2014/chart" uri="{C3380CC4-5D6E-409C-BE32-E72D297353CC}">
                <c16:uniqueId val="{00000007-1900-4B70-ACBD-C62FA40A10FA}"/>
              </c:ext>
            </c:extLst>
          </c:dPt>
          <c:xVal>
            <c:numRef>
              <c:f>'（解答）【演習問題２】タイリング'!$B$9:$B$29</c:f>
              <c:numCache>
                <c:formatCode>General</c:formatCode>
                <c:ptCount val="21"/>
                <c:pt idx="0">
                  <c:v>1</c:v>
                </c:pt>
                <c:pt idx="1">
                  <c:v>1.6</c:v>
                </c:pt>
                <c:pt idx="2">
                  <c:v>1.5</c:v>
                </c:pt>
                <c:pt idx="3">
                  <c:v>1.4</c:v>
                </c:pt>
                <c:pt idx="4">
                  <c:v>1</c:v>
                </c:pt>
                <c:pt idx="5">
                  <c:v>0.5</c:v>
                </c:pt>
                <c:pt idx="6">
                  <c:v>0</c:v>
                </c:pt>
                <c:pt idx="7">
                  <c:v>-0.5</c:v>
                </c:pt>
                <c:pt idx="8">
                  <c:v>-1</c:v>
                </c:pt>
                <c:pt idx="9">
                  <c:v>-0.6</c:v>
                </c:pt>
                <c:pt idx="10">
                  <c:v>-0.5</c:v>
                </c:pt>
                <c:pt idx="11">
                  <c:v>-0.4</c:v>
                </c:pt>
                <c:pt idx="12">
                  <c:v>-1</c:v>
                </c:pt>
                <c:pt idx="13">
                  <c:v>-0.5</c:v>
                </c:pt>
                <c:pt idx="14">
                  <c:v>0</c:v>
                </c:pt>
                <c:pt idx="15">
                  <c:v>0.5</c:v>
                </c:pt>
                <c:pt idx="16">
                  <c:v>1</c:v>
                </c:pt>
                <c:pt idx="17">
                  <c:v>2</c:v>
                </c:pt>
                <c:pt idx="18">
                  <c:v>-2</c:v>
                </c:pt>
                <c:pt idx="19">
                  <c:v>-2</c:v>
                </c:pt>
                <c:pt idx="20">
                  <c:v>2</c:v>
                </c:pt>
              </c:numCache>
            </c:numRef>
          </c:xVal>
          <c:yVal>
            <c:numRef>
              <c:f>'（解答）【演習問題２】タイリング'!$C$9:$C$29</c:f>
              <c:numCache>
                <c:formatCode>General</c:formatCode>
                <c:ptCount val="21"/>
                <c:pt idx="0">
                  <c:v>-1</c:v>
                </c:pt>
                <c:pt idx="1">
                  <c:v>-0.5</c:v>
                </c:pt>
                <c:pt idx="2">
                  <c:v>0</c:v>
                </c:pt>
                <c:pt idx="3">
                  <c:v>0.5</c:v>
                </c:pt>
                <c:pt idx="4">
                  <c:v>1</c:v>
                </c:pt>
                <c:pt idx="5">
                  <c:v>1.3</c:v>
                </c:pt>
                <c:pt idx="6">
                  <c:v>1.2</c:v>
                </c:pt>
                <c:pt idx="7">
                  <c:v>1.1000000000000001</c:v>
                </c:pt>
                <c:pt idx="8">
                  <c:v>1</c:v>
                </c:pt>
                <c:pt idx="9">
                  <c:v>0.5</c:v>
                </c:pt>
                <c:pt idx="10">
                  <c:v>0</c:v>
                </c:pt>
                <c:pt idx="11">
                  <c:v>-0.5</c:v>
                </c:pt>
                <c:pt idx="12">
                  <c:v>-1</c:v>
                </c:pt>
                <c:pt idx="13">
                  <c:v>-0.9</c:v>
                </c:pt>
                <c:pt idx="14">
                  <c:v>-0.8</c:v>
                </c:pt>
                <c:pt idx="15">
                  <c:v>-0.7</c:v>
                </c:pt>
                <c:pt idx="16">
                  <c:v>-1</c:v>
                </c:pt>
                <c:pt idx="17">
                  <c:v>2</c:v>
                </c:pt>
                <c:pt idx="18">
                  <c:v>2</c:v>
                </c:pt>
                <c:pt idx="19">
                  <c:v>-2</c:v>
                </c:pt>
                <c:pt idx="20">
                  <c:v>-2</c:v>
                </c:pt>
              </c:numCache>
            </c:numRef>
          </c:yVal>
          <c:smooth val="0"/>
          <c:extLst>
            <c:ext xmlns:c16="http://schemas.microsoft.com/office/drawing/2014/chart" uri="{C3380CC4-5D6E-409C-BE32-E72D297353CC}">
              <c16:uniqueId val="{00000008-1900-4B70-ACBD-C62FA40A10FA}"/>
            </c:ext>
          </c:extLst>
        </c:ser>
        <c:dLbls>
          <c:showLegendKey val="0"/>
          <c:showVal val="0"/>
          <c:showCatName val="0"/>
          <c:showSerName val="0"/>
          <c:showPercent val="0"/>
          <c:showBubbleSize val="0"/>
        </c:dLbls>
        <c:axId val="680532552"/>
        <c:axId val="680528288"/>
      </c:scatterChart>
      <c:valAx>
        <c:axId val="680532552"/>
        <c:scaling>
          <c:orientation val="minMax"/>
        </c:scaling>
        <c:delete val="1"/>
        <c:axPos val="b"/>
        <c:numFmt formatCode="General" sourceLinked="1"/>
        <c:majorTickMark val="none"/>
        <c:minorTickMark val="none"/>
        <c:tickLblPos val="nextTo"/>
        <c:crossAx val="680528288"/>
        <c:crosses val="autoZero"/>
        <c:crossBetween val="midCat"/>
      </c:valAx>
      <c:valAx>
        <c:axId val="680528288"/>
        <c:scaling>
          <c:orientation val="minMax"/>
        </c:scaling>
        <c:delete val="1"/>
        <c:axPos val="l"/>
        <c:numFmt formatCode="General" sourceLinked="1"/>
        <c:majorTickMark val="none"/>
        <c:minorTickMark val="none"/>
        <c:tickLblPos val="nextTo"/>
        <c:crossAx val="68053255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'（解答）【演習問題２】タイリング'!$C$8</c:f>
              <c:strCache>
                <c:ptCount val="1"/>
                <c:pt idx="0">
                  <c:v>y</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Pt>
            <c:idx val="17"/>
            <c:marker>
              <c:symbol val="none"/>
            </c:marker>
            <c:bubble3D val="0"/>
            <c:spPr>
              <a:ln w="19050" cap="rnd">
                <a:noFill/>
                <a:round/>
              </a:ln>
              <a:effectLst/>
            </c:spPr>
            <c:extLst>
              <c:ext xmlns:c16="http://schemas.microsoft.com/office/drawing/2014/chart" uri="{C3380CC4-5D6E-409C-BE32-E72D297353CC}">
                <c16:uniqueId val="{00000001-44C9-4FE0-A6C6-14FEF91BCFE0}"/>
              </c:ext>
            </c:extLst>
          </c:dPt>
          <c:dPt>
            <c:idx val="18"/>
            <c:marker>
              <c:symbol val="none"/>
            </c:marker>
            <c:bubble3D val="0"/>
            <c:spPr>
              <a:ln w="19050" cap="rnd">
                <a:noFill/>
                <a:round/>
              </a:ln>
              <a:effectLst/>
            </c:spPr>
            <c:extLst>
              <c:ext xmlns:c16="http://schemas.microsoft.com/office/drawing/2014/chart" uri="{C3380CC4-5D6E-409C-BE32-E72D297353CC}">
                <c16:uniqueId val="{00000003-44C9-4FE0-A6C6-14FEF91BCFE0}"/>
              </c:ext>
            </c:extLst>
          </c:dPt>
          <c:dPt>
            <c:idx val="19"/>
            <c:marker>
              <c:symbol val="none"/>
            </c:marker>
            <c:bubble3D val="0"/>
            <c:spPr>
              <a:ln w="19050" cap="rnd">
                <a:noFill/>
                <a:round/>
              </a:ln>
              <a:effectLst/>
            </c:spPr>
            <c:extLst>
              <c:ext xmlns:c16="http://schemas.microsoft.com/office/drawing/2014/chart" uri="{C3380CC4-5D6E-409C-BE32-E72D297353CC}">
                <c16:uniqueId val="{00000005-44C9-4FE0-A6C6-14FEF91BCFE0}"/>
              </c:ext>
            </c:extLst>
          </c:dPt>
          <c:dPt>
            <c:idx val="20"/>
            <c:marker>
              <c:symbol val="none"/>
            </c:marker>
            <c:bubble3D val="0"/>
            <c:spPr>
              <a:ln w="19050" cap="rnd">
                <a:noFill/>
                <a:round/>
              </a:ln>
              <a:effectLst/>
            </c:spPr>
            <c:extLst>
              <c:ext xmlns:c16="http://schemas.microsoft.com/office/drawing/2014/chart" uri="{C3380CC4-5D6E-409C-BE32-E72D297353CC}">
                <c16:uniqueId val="{00000007-44C9-4FE0-A6C6-14FEF91BCFE0}"/>
              </c:ext>
            </c:extLst>
          </c:dPt>
          <c:xVal>
            <c:numRef>
              <c:f>'（解答）【演習問題２】タイリング'!$B$9:$B$29</c:f>
              <c:numCache>
                <c:formatCode>General</c:formatCode>
                <c:ptCount val="21"/>
                <c:pt idx="0">
                  <c:v>1</c:v>
                </c:pt>
                <c:pt idx="1">
                  <c:v>1.6</c:v>
                </c:pt>
                <c:pt idx="2">
                  <c:v>1.5</c:v>
                </c:pt>
                <c:pt idx="3">
                  <c:v>1.4</c:v>
                </c:pt>
                <c:pt idx="4">
                  <c:v>1</c:v>
                </c:pt>
                <c:pt idx="5">
                  <c:v>0.5</c:v>
                </c:pt>
                <c:pt idx="6">
                  <c:v>0</c:v>
                </c:pt>
                <c:pt idx="7">
                  <c:v>-0.5</c:v>
                </c:pt>
                <c:pt idx="8">
                  <c:v>-1</c:v>
                </c:pt>
                <c:pt idx="9">
                  <c:v>-0.6</c:v>
                </c:pt>
                <c:pt idx="10">
                  <c:v>-0.5</c:v>
                </c:pt>
                <c:pt idx="11">
                  <c:v>-0.4</c:v>
                </c:pt>
                <c:pt idx="12">
                  <c:v>-1</c:v>
                </c:pt>
                <c:pt idx="13">
                  <c:v>-0.5</c:v>
                </c:pt>
                <c:pt idx="14">
                  <c:v>0</c:v>
                </c:pt>
                <c:pt idx="15">
                  <c:v>0.5</c:v>
                </c:pt>
                <c:pt idx="16">
                  <c:v>1</c:v>
                </c:pt>
                <c:pt idx="17">
                  <c:v>2</c:v>
                </c:pt>
                <c:pt idx="18">
                  <c:v>-2</c:v>
                </c:pt>
                <c:pt idx="19">
                  <c:v>-2</c:v>
                </c:pt>
                <c:pt idx="20">
                  <c:v>2</c:v>
                </c:pt>
              </c:numCache>
            </c:numRef>
          </c:xVal>
          <c:yVal>
            <c:numRef>
              <c:f>'（解答）【演習問題２】タイリング'!$C$9:$C$29</c:f>
              <c:numCache>
                <c:formatCode>General</c:formatCode>
                <c:ptCount val="21"/>
                <c:pt idx="0">
                  <c:v>-1</c:v>
                </c:pt>
                <c:pt idx="1">
                  <c:v>-0.5</c:v>
                </c:pt>
                <c:pt idx="2">
                  <c:v>0</c:v>
                </c:pt>
                <c:pt idx="3">
                  <c:v>0.5</c:v>
                </c:pt>
                <c:pt idx="4">
                  <c:v>1</c:v>
                </c:pt>
                <c:pt idx="5">
                  <c:v>1.3</c:v>
                </c:pt>
                <c:pt idx="6">
                  <c:v>1.2</c:v>
                </c:pt>
                <c:pt idx="7">
                  <c:v>1.1000000000000001</c:v>
                </c:pt>
                <c:pt idx="8">
                  <c:v>1</c:v>
                </c:pt>
                <c:pt idx="9">
                  <c:v>0.5</c:v>
                </c:pt>
                <c:pt idx="10">
                  <c:v>0</c:v>
                </c:pt>
                <c:pt idx="11">
                  <c:v>-0.5</c:v>
                </c:pt>
                <c:pt idx="12">
                  <c:v>-1</c:v>
                </c:pt>
                <c:pt idx="13">
                  <c:v>-0.9</c:v>
                </c:pt>
                <c:pt idx="14">
                  <c:v>-0.8</c:v>
                </c:pt>
                <c:pt idx="15">
                  <c:v>-0.7</c:v>
                </c:pt>
                <c:pt idx="16">
                  <c:v>-1</c:v>
                </c:pt>
                <c:pt idx="17">
                  <c:v>2</c:v>
                </c:pt>
                <c:pt idx="18">
                  <c:v>2</c:v>
                </c:pt>
                <c:pt idx="19">
                  <c:v>-2</c:v>
                </c:pt>
                <c:pt idx="20">
                  <c:v>-2</c:v>
                </c:pt>
              </c:numCache>
            </c:numRef>
          </c:yVal>
          <c:smooth val="0"/>
          <c:extLst>
            <c:ext xmlns:c16="http://schemas.microsoft.com/office/drawing/2014/chart" uri="{C3380CC4-5D6E-409C-BE32-E72D297353CC}">
              <c16:uniqueId val="{00000008-44C9-4FE0-A6C6-14FEF91BCFE0}"/>
            </c:ext>
          </c:extLst>
        </c:ser>
        <c:dLbls>
          <c:showLegendKey val="0"/>
          <c:showVal val="0"/>
          <c:showCatName val="0"/>
          <c:showSerName val="0"/>
          <c:showPercent val="0"/>
          <c:showBubbleSize val="0"/>
        </c:dLbls>
        <c:axId val="680532552"/>
        <c:axId val="680528288"/>
      </c:scatterChart>
      <c:valAx>
        <c:axId val="680532552"/>
        <c:scaling>
          <c:orientation val="minMax"/>
        </c:scaling>
        <c:delete val="1"/>
        <c:axPos val="b"/>
        <c:numFmt formatCode="General" sourceLinked="1"/>
        <c:majorTickMark val="none"/>
        <c:minorTickMark val="none"/>
        <c:tickLblPos val="nextTo"/>
        <c:crossAx val="680528288"/>
        <c:crosses val="autoZero"/>
        <c:crossBetween val="midCat"/>
      </c:valAx>
      <c:valAx>
        <c:axId val="680528288"/>
        <c:scaling>
          <c:orientation val="minMax"/>
        </c:scaling>
        <c:delete val="1"/>
        <c:axPos val="l"/>
        <c:numFmt formatCode="General" sourceLinked="1"/>
        <c:majorTickMark val="none"/>
        <c:minorTickMark val="none"/>
        <c:tickLblPos val="nextTo"/>
        <c:crossAx val="68053255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'（解答）【演習問題２】タイリング'!$C$8</c:f>
              <c:strCache>
                <c:ptCount val="1"/>
                <c:pt idx="0">
                  <c:v>y</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Pt>
            <c:idx val="17"/>
            <c:marker>
              <c:symbol val="none"/>
            </c:marker>
            <c:bubble3D val="0"/>
            <c:spPr>
              <a:ln w="19050" cap="rnd">
                <a:noFill/>
                <a:round/>
              </a:ln>
              <a:effectLst/>
            </c:spPr>
            <c:extLst>
              <c:ext xmlns:c16="http://schemas.microsoft.com/office/drawing/2014/chart" uri="{C3380CC4-5D6E-409C-BE32-E72D297353CC}">
                <c16:uniqueId val="{00000001-306E-449D-B9D5-23DD638B32F8}"/>
              </c:ext>
            </c:extLst>
          </c:dPt>
          <c:dPt>
            <c:idx val="18"/>
            <c:marker>
              <c:symbol val="none"/>
            </c:marker>
            <c:bubble3D val="0"/>
            <c:spPr>
              <a:ln w="19050" cap="rnd">
                <a:noFill/>
                <a:round/>
              </a:ln>
              <a:effectLst/>
            </c:spPr>
            <c:extLst>
              <c:ext xmlns:c16="http://schemas.microsoft.com/office/drawing/2014/chart" uri="{C3380CC4-5D6E-409C-BE32-E72D297353CC}">
                <c16:uniqueId val="{00000003-306E-449D-B9D5-23DD638B32F8}"/>
              </c:ext>
            </c:extLst>
          </c:dPt>
          <c:dPt>
            <c:idx val="19"/>
            <c:marker>
              <c:symbol val="none"/>
            </c:marker>
            <c:bubble3D val="0"/>
            <c:spPr>
              <a:ln w="19050" cap="rnd">
                <a:noFill/>
                <a:round/>
              </a:ln>
              <a:effectLst/>
            </c:spPr>
            <c:extLst>
              <c:ext xmlns:c16="http://schemas.microsoft.com/office/drawing/2014/chart" uri="{C3380CC4-5D6E-409C-BE32-E72D297353CC}">
                <c16:uniqueId val="{00000005-306E-449D-B9D5-23DD638B32F8}"/>
              </c:ext>
            </c:extLst>
          </c:dPt>
          <c:dPt>
            <c:idx val="20"/>
            <c:marker>
              <c:symbol val="none"/>
            </c:marker>
            <c:bubble3D val="0"/>
            <c:spPr>
              <a:ln w="19050" cap="rnd">
                <a:noFill/>
                <a:round/>
              </a:ln>
              <a:effectLst/>
            </c:spPr>
            <c:extLst>
              <c:ext xmlns:c16="http://schemas.microsoft.com/office/drawing/2014/chart" uri="{C3380CC4-5D6E-409C-BE32-E72D297353CC}">
                <c16:uniqueId val="{00000007-306E-449D-B9D5-23DD638B32F8}"/>
              </c:ext>
            </c:extLst>
          </c:dPt>
          <c:xVal>
            <c:numRef>
              <c:f>'（解答）【演習問題２】タイリング'!$B$9:$B$29</c:f>
              <c:numCache>
                <c:formatCode>General</c:formatCode>
                <c:ptCount val="21"/>
                <c:pt idx="0">
                  <c:v>1</c:v>
                </c:pt>
                <c:pt idx="1">
                  <c:v>1.6</c:v>
                </c:pt>
                <c:pt idx="2">
                  <c:v>1.5</c:v>
                </c:pt>
                <c:pt idx="3">
                  <c:v>1.4</c:v>
                </c:pt>
                <c:pt idx="4">
                  <c:v>1</c:v>
                </c:pt>
                <c:pt idx="5">
                  <c:v>0.5</c:v>
                </c:pt>
                <c:pt idx="6">
                  <c:v>0</c:v>
                </c:pt>
                <c:pt idx="7">
                  <c:v>-0.5</c:v>
                </c:pt>
                <c:pt idx="8">
                  <c:v>-1</c:v>
                </c:pt>
                <c:pt idx="9">
                  <c:v>-0.6</c:v>
                </c:pt>
                <c:pt idx="10">
                  <c:v>-0.5</c:v>
                </c:pt>
                <c:pt idx="11">
                  <c:v>-0.4</c:v>
                </c:pt>
                <c:pt idx="12">
                  <c:v>-1</c:v>
                </c:pt>
                <c:pt idx="13">
                  <c:v>-0.5</c:v>
                </c:pt>
                <c:pt idx="14">
                  <c:v>0</c:v>
                </c:pt>
                <c:pt idx="15">
                  <c:v>0.5</c:v>
                </c:pt>
                <c:pt idx="16">
                  <c:v>1</c:v>
                </c:pt>
                <c:pt idx="17">
                  <c:v>2</c:v>
                </c:pt>
                <c:pt idx="18">
                  <c:v>-2</c:v>
                </c:pt>
                <c:pt idx="19">
                  <c:v>-2</c:v>
                </c:pt>
                <c:pt idx="20">
                  <c:v>2</c:v>
                </c:pt>
              </c:numCache>
            </c:numRef>
          </c:xVal>
          <c:yVal>
            <c:numRef>
              <c:f>'（解答）【演習問題２】タイリング'!$C$9:$C$29</c:f>
              <c:numCache>
                <c:formatCode>General</c:formatCode>
                <c:ptCount val="21"/>
                <c:pt idx="0">
                  <c:v>-1</c:v>
                </c:pt>
                <c:pt idx="1">
                  <c:v>-0.5</c:v>
                </c:pt>
                <c:pt idx="2">
                  <c:v>0</c:v>
                </c:pt>
                <c:pt idx="3">
                  <c:v>0.5</c:v>
                </c:pt>
                <c:pt idx="4">
                  <c:v>1</c:v>
                </c:pt>
                <c:pt idx="5">
                  <c:v>1.3</c:v>
                </c:pt>
                <c:pt idx="6">
                  <c:v>1.2</c:v>
                </c:pt>
                <c:pt idx="7">
                  <c:v>1.1000000000000001</c:v>
                </c:pt>
                <c:pt idx="8">
                  <c:v>1</c:v>
                </c:pt>
                <c:pt idx="9">
                  <c:v>0.5</c:v>
                </c:pt>
                <c:pt idx="10">
                  <c:v>0</c:v>
                </c:pt>
                <c:pt idx="11">
                  <c:v>-0.5</c:v>
                </c:pt>
                <c:pt idx="12">
                  <c:v>-1</c:v>
                </c:pt>
                <c:pt idx="13">
                  <c:v>-0.9</c:v>
                </c:pt>
                <c:pt idx="14">
                  <c:v>-0.8</c:v>
                </c:pt>
                <c:pt idx="15">
                  <c:v>-0.7</c:v>
                </c:pt>
                <c:pt idx="16">
                  <c:v>-1</c:v>
                </c:pt>
                <c:pt idx="17">
                  <c:v>2</c:v>
                </c:pt>
                <c:pt idx="18">
                  <c:v>2</c:v>
                </c:pt>
                <c:pt idx="19">
                  <c:v>-2</c:v>
                </c:pt>
                <c:pt idx="20">
                  <c:v>-2</c:v>
                </c:pt>
              </c:numCache>
            </c:numRef>
          </c:yVal>
          <c:smooth val="0"/>
          <c:extLst>
            <c:ext xmlns:c16="http://schemas.microsoft.com/office/drawing/2014/chart" uri="{C3380CC4-5D6E-409C-BE32-E72D297353CC}">
              <c16:uniqueId val="{00000008-306E-449D-B9D5-23DD638B32F8}"/>
            </c:ext>
          </c:extLst>
        </c:ser>
        <c:dLbls>
          <c:showLegendKey val="0"/>
          <c:showVal val="0"/>
          <c:showCatName val="0"/>
          <c:showSerName val="0"/>
          <c:showPercent val="0"/>
          <c:showBubbleSize val="0"/>
        </c:dLbls>
        <c:axId val="680532552"/>
        <c:axId val="680528288"/>
      </c:scatterChart>
      <c:valAx>
        <c:axId val="680532552"/>
        <c:scaling>
          <c:orientation val="minMax"/>
        </c:scaling>
        <c:delete val="1"/>
        <c:axPos val="b"/>
        <c:numFmt formatCode="General" sourceLinked="1"/>
        <c:majorTickMark val="none"/>
        <c:minorTickMark val="none"/>
        <c:tickLblPos val="nextTo"/>
        <c:crossAx val="680528288"/>
        <c:crosses val="autoZero"/>
        <c:crossBetween val="midCat"/>
      </c:valAx>
      <c:valAx>
        <c:axId val="680528288"/>
        <c:scaling>
          <c:orientation val="minMax"/>
        </c:scaling>
        <c:delete val="1"/>
        <c:axPos val="l"/>
        <c:numFmt formatCode="General" sourceLinked="1"/>
        <c:majorTickMark val="none"/>
        <c:minorTickMark val="none"/>
        <c:tickLblPos val="nextTo"/>
        <c:crossAx val="68053255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'（解答）【演習問題２】タイリング'!$C$8</c:f>
              <c:strCache>
                <c:ptCount val="1"/>
                <c:pt idx="0">
                  <c:v>y</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Pt>
            <c:idx val="17"/>
            <c:marker>
              <c:symbol val="none"/>
            </c:marker>
            <c:bubble3D val="0"/>
            <c:spPr>
              <a:ln w="19050" cap="rnd">
                <a:noFill/>
                <a:round/>
              </a:ln>
              <a:effectLst/>
            </c:spPr>
            <c:extLst>
              <c:ext xmlns:c16="http://schemas.microsoft.com/office/drawing/2014/chart" uri="{C3380CC4-5D6E-409C-BE32-E72D297353CC}">
                <c16:uniqueId val="{00000001-76A2-43AD-8E3C-6A4BBDC23A0B}"/>
              </c:ext>
            </c:extLst>
          </c:dPt>
          <c:dPt>
            <c:idx val="18"/>
            <c:marker>
              <c:symbol val="none"/>
            </c:marker>
            <c:bubble3D val="0"/>
            <c:spPr>
              <a:ln w="19050" cap="rnd">
                <a:noFill/>
                <a:round/>
              </a:ln>
              <a:effectLst/>
            </c:spPr>
            <c:extLst>
              <c:ext xmlns:c16="http://schemas.microsoft.com/office/drawing/2014/chart" uri="{C3380CC4-5D6E-409C-BE32-E72D297353CC}">
                <c16:uniqueId val="{00000003-76A2-43AD-8E3C-6A4BBDC23A0B}"/>
              </c:ext>
            </c:extLst>
          </c:dPt>
          <c:dPt>
            <c:idx val="19"/>
            <c:marker>
              <c:symbol val="none"/>
            </c:marker>
            <c:bubble3D val="0"/>
            <c:spPr>
              <a:ln w="19050" cap="rnd">
                <a:noFill/>
                <a:round/>
              </a:ln>
              <a:effectLst/>
            </c:spPr>
            <c:extLst>
              <c:ext xmlns:c16="http://schemas.microsoft.com/office/drawing/2014/chart" uri="{C3380CC4-5D6E-409C-BE32-E72D297353CC}">
                <c16:uniqueId val="{00000005-76A2-43AD-8E3C-6A4BBDC23A0B}"/>
              </c:ext>
            </c:extLst>
          </c:dPt>
          <c:dPt>
            <c:idx val="20"/>
            <c:marker>
              <c:symbol val="none"/>
            </c:marker>
            <c:bubble3D val="0"/>
            <c:spPr>
              <a:ln w="19050" cap="rnd">
                <a:noFill/>
                <a:round/>
              </a:ln>
              <a:effectLst/>
            </c:spPr>
            <c:extLst>
              <c:ext xmlns:c16="http://schemas.microsoft.com/office/drawing/2014/chart" uri="{C3380CC4-5D6E-409C-BE32-E72D297353CC}">
                <c16:uniqueId val="{00000007-76A2-43AD-8E3C-6A4BBDC23A0B}"/>
              </c:ext>
            </c:extLst>
          </c:dPt>
          <c:xVal>
            <c:numRef>
              <c:f>'（解答）【演習問題２】タイリング'!$B$9:$B$29</c:f>
              <c:numCache>
                <c:formatCode>General</c:formatCode>
                <c:ptCount val="21"/>
                <c:pt idx="0">
                  <c:v>1</c:v>
                </c:pt>
                <c:pt idx="1">
                  <c:v>1.6</c:v>
                </c:pt>
                <c:pt idx="2">
                  <c:v>1.5</c:v>
                </c:pt>
                <c:pt idx="3">
                  <c:v>1.4</c:v>
                </c:pt>
                <c:pt idx="4">
                  <c:v>1</c:v>
                </c:pt>
                <c:pt idx="5">
                  <c:v>0.5</c:v>
                </c:pt>
                <c:pt idx="6">
                  <c:v>0</c:v>
                </c:pt>
                <c:pt idx="7">
                  <c:v>-0.5</c:v>
                </c:pt>
                <c:pt idx="8">
                  <c:v>-1</c:v>
                </c:pt>
                <c:pt idx="9">
                  <c:v>-0.6</c:v>
                </c:pt>
                <c:pt idx="10">
                  <c:v>-0.5</c:v>
                </c:pt>
                <c:pt idx="11">
                  <c:v>-0.4</c:v>
                </c:pt>
                <c:pt idx="12">
                  <c:v>-1</c:v>
                </c:pt>
                <c:pt idx="13">
                  <c:v>-0.5</c:v>
                </c:pt>
                <c:pt idx="14">
                  <c:v>0</c:v>
                </c:pt>
                <c:pt idx="15">
                  <c:v>0.5</c:v>
                </c:pt>
                <c:pt idx="16">
                  <c:v>1</c:v>
                </c:pt>
                <c:pt idx="17">
                  <c:v>2</c:v>
                </c:pt>
                <c:pt idx="18">
                  <c:v>-2</c:v>
                </c:pt>
                <c:pt idx="19">
                  <c:v>-2</c:v>
                </c:pt>
                <c:pt idx="20">
                  <c:v>2</c:v>
                </c:pt>
              </c:numCache>
            </c:numRef>
          </c:xVal>
          <c:yVal>
            <c:numRef>
              <c:f>'（解答）【演習問題２】タイリング'!$C$9:$C$29</c:f>
              <c:numCache>
                <c:formatCode>General</c:formatCode>
                <c:ptCount val="21"/>
                <c:pt idx="0">
                  <c:v>-1</c:v>
                </c:pt>
                <c:pt idx="1">
                  <c:v>-0.5</c:v>
                </c:pt>
                <c:pt idx="2">
                  <c:v>0</c:v>
                </c:pt>
                <c:pt idx="3">
                  <c:v>0.5</c:v>
                </c:pt>
                <c:pt idx="4">
                  <c:v>1</c:v>
                </c:pt>
                <c:pt idx="5">
                  <c:v>1.3</c:v>
                </c:pt>
                <c:pt idx="6">
                  <c:v>1.2</c:v>
                </c:pt>
                <c:pt idx="7">
                  <c:v>1.1000000000000001</c:v>
                </c:pt>
                <c:pt idx="8">
                  <c:v>1</c:v>
                </c:pt>
                <c:pt idx="9">
                  <c:v>0.5</c:v>
                </c:pt>
                <c:pt idx="10">
                  <c:v>0</c:v>
                </c:pt>
                <c:pt idx="11">
                  <c:v>-0.5</c:v>
                </c:pt>
                <c:pt idx="12">
                  <c:v>-1</c:v>
                </c:pt>
                <c:pt idx="13">
                  <c:v>-0.9</c:v>
                </c:pt>
                <c:pt idx="14">
                  <c:v>-0.8</c:v>
                </c:pt>
                <c:pt idx="15">
                  <c:v>-0.7</c:v>
                </c:pt>
                <c:pt idx="16">
                  <c:v>-1</c:v>
                </c:pt>
                <c:pt idx="17">
                  <c:v>2</c:v>
                </c:pt>
                <c:pt idx="18">
                  <c:v>2</c:v>
                </c:pt>
                <c:pt idx="19">
                  <c:v>-2</c:v>
                </c:pt>
                <c:pt idx="20">
                  <c:v>-2</c:v>
                </c:pt>
              </c:numCache>
            </c:numRef>
          </c:yVal>
          <c:smooth val="0"/>
          <c:extLst>
            <c:ext xmlns:c16="http://schemas.microsoft.com/office/drawing/2014/chart" uri="{C3380CC4-5D6E-409C-BE32-E72D297353CC}">
              <c16:uniqueId val="{00000008-76A2-43AD-8E3C-6A4BBDC23A0B}"/>
            </c:ext>
          </c:extLst>
        </c:ser>
        <c:dLbls>
          <c:showLegendKey val="0"/>
          <c:showVal val="0"/>
          <c:showCatName val="0"/>
          <c:showSerName val="0"/>
          <c:showPercent val="0"/>
          <c:showBubbleSize val="0"/>
        </c:dLbls>
        <c:axId val="680532552"/>
        <c:axId val="680528288"/>
      </c:scatterChart>
      <c:valAx>
        <c:axId val="680532552"/>
        <c:scaling>
          <c:orientation val="minMax"/>
        </c:scaling>
        <c:delete val="1"/>
        <c:axPos val="b"/>
        <c:numFmt formatCode="General" sourceLinked="1"/>
        <c:majorTickMark val="none"/>
        <c:minorTickMark val="none"/>
        <c:tickLblPos val="nextTo"/>
        <c:crossAx val="680528288"/>
        <c:crosses val="autoZero"/>
        <c:crossBetween val="midCat"/>
      </c:valAx>
      <c:valAx>
        <c:axId val="680528288"/>
        <c:scaling>
          <c:orientation val="minMax"/>
        </c:scaling>
        <c:delete val="1"/>
        <c:axPos val="l"/>
        <c:numFmt formatCode="General" sourceLinked="1"/>
        <c:majorTickMark val="none"/>
        <c:minorTickMark val="none"/>
        <c:tickLblPos val="nextTo"/>
        <c:crossAx val="68053255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'（解答）【演習問題２】タイリング'!$C$8</c:f>
              <c:strCache>
                <c:ptCount val="1"/>
                <c:pt idx="0">
                  <c:v>y</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Pt>
            <c:idx val="17"/>
            <c:marker>
              <c:symbol val="none"/>
            </c:marker>
            <c:bubble3D val="0"/>
            <c:spPr>
              <a:ln w="19050" cap="rnd">
                <a:noFill/>
                <a:round/>
              </a:ln>
              <a:effectLst/>
            </c:spPr>
            <c:extLst>
              <c:ext xmlns:c16="http://schemas.microsoft.com/office/drawing/2014/chart" uri="{C3380CC4-5D6E-409C-BE32-E72D297353CC}">
                <c16:uniqueId val="{00000001-FEF4-459B-8952-42D4731BFF8E}"/>
              </c:ext>
            </c:extLst>
          </c:dPt>
          <c:dPt>
            <c:idx val="18"/>
            <c:marker>
              <c:symbol val="none"/>
            </c:marker>
            <c:bubble3D val="0"/>
            <c:spPr>
              <a:ln w="19050" cap="rnd">
                <a:noFill/>
                <a:round/>
              </a:ln>
              <a:effectLst/>
            </c:spPr>
            <c:extLst>
              <c:ext xmlns:c16="http://schemas.microsoft.com/office/drawing/2014/chart" uri="{C3380CC4-5D6E-409C-BE32-E72D297353CC}">
                <c16:uniqueId val="{00000003-FEF4-459B-8952-42D4731BFF8E}"/>
              </c:ext>
            </c:extLst>
          </c:dPt>
          <c:dPt>
            <c:idx val="19"/>
            <c:marker>
              <c:symbol val="none"/>
            </c:marker>
            <c:bubble3D val="0"/>
            <c:spPr>
              <a:ln w="19050" cap="rnd">
                <a:noFill/>
                <a:round/>
              </a:ln>
              <a:effectLst/>
            </c:spPr>
            <c:extLst>
              <c:ext xmlns:c16="http://schemas.microsoft.com/office/drawing/2014/chart" uri="{C3380CC4-5D6E-409C-BE32-E72D297353CC}">
                <c16:uniqueId val="{00000005-FEF4-459B-8952-42D4731BFF8E}"/>
              </c:ext>
            </c:extLst>
          </c:dPt>
          <c:dPt>
            <c:idx val="20"/>
            <c:marker>
              <c:symbol val="none"/>
            </c:marker>
            <c:bubble3D val="0"/>
            <c:spPr>
              <a:ln w="19050" cap="rnd">
                <a:noFill/>
                <a:round/>
              </a:ln>
              <a:effectLst/>
            </c:spPr>
            <c:extLst>
              <c:ext xmlns:c16="http://schemas.microsoft.com/office/drawing/2014/chart" uri="{C3380CC4-5D6E-409C-BE32-E72D297353CC}">
                <c16:uniqueId val="{00000007-FEF4-459B-8952-42D4731BFF8E}"/>
              </c:ext>
            </c:extLst>
          </c:dPt>
          <c:xVal>
            <c:numRef>
              <c:f>'（解答）【演習問題２】タイリング'!$B$9:$B$29</c:f>
              <c:numCache>
                <c:formatCode>General</c:formatCode>
                <c:ptCount val="21"/>
                <c:pt idx="0">
                  <c:v>1</c:v>
                </c:pt>
                <c:pt idx="1">
                  <c:v>1.6</c:v>
                </c:pt>
                <c:pt idx="2">
                  <c:v>1.5</c:v>
                </c:pt>
                <c:pt idx="3">
                  <c:v>1.4</c:v>
                </c:pt>
                <c:pt idx="4">
                  <c:v>1</c:v>
                </c:pt>
                <c:pt idx="5">
                  <c:v>0.5</c:v>
                </c:pt>
                <c:pt idx="6">
                  <c:v>0</c:v>
                </c:pt>
                <c:pt idx="7">
                  <c:v>-0.5</c:v>
                </c:pt>
                <c:pt idx="8">
                  <c:v>-1</c:v>
                </c:pt>
                <c:pt idx="9">
                  <c:v>-0.6</c:v>
                </c:pt>
                <c:pt idx="10">
                  <c:v>-0.5</c:v>
                </c:pt>
                <c:pt idx="11">
                  <c:v>-0.4</c:v>
                </c:pt>
                <c:pt idx="12">
                  <c:v>-1</c:v>
                </c:pt>
                <c:pt idx="13">
                  <c:v>-0.5</c:v>
                </c:pt>
                <c:pt idx="14">
                  <c:v>0</c:v>
                </c:pt>
                <c:pt idx="15">
                  <c:v>0.5</c:v>
                </c:pt>
                <c:pt idx="16">
                  <c:v>1</c:v>
                </c:pt>
                <c:pt idx="17">
                  <c:v>2</c:v>
                </c:pt>
                <c:pt idx="18">
                  <c:v>-2</c:v>
                </c:pt>
                <c:pt idx="19">
                  <c:v>-2</c:v>
                </c:pt>
                <c:pt idx="20">
                  <c:v>2</c:v>
                </c:pt>
              </c:numCache>
            </c:numRef>
          </c:xVal>
          <c:yVal>
            <c:numRef>
              <c:f>'（解答）【演習問題２】タイリング'!$C$9:$C$29</c:f>
              <c:numCache>
                <c:formatCode>General</c:formatCode>
                <c:ptCount val="21"/>
                <c:pt idx="0">
                  <c:v>-1</c:v>
                </c:pt>
                <c:pt idx="1">
                  <c:v>-0.5</c:v>
                </c:pt>
                <c:pt idx="2">
                  <c:v>0</c:v>
                </c:pt>
                <c:pt idx="3">
                  <c:v>0.5</c:v>
                </c:pt>
                <c:pt idx="4">
                  <c:v>1</c:v>
                </c:pt>
                <c:pt idx="5">
                  <c:v>1.3</c:v>
                </c:pt>
                <c:pt idx="6">
                  <c:v>1.2</c:v>
                </c:pt>
                <c:pt idx="7">
                  <c:v>1.1000000000000001</c:v>
                </c:pt>
                <c:pt idx="8">
                  <c:v>1</c:v>
                </c:pt>
                <c:pt idx="9">
                  <c:v>0.5</c:v>
                </c:pt>
                <c:pt idx="10">
                  <c:v>0</c:v>
                </c:pt>
                <c:pt idx="11">
                  <c:v>-0.5</c:v>
                </c:pt>
                <c:pt idx="12">
                  <c:v>-1</c:v>
                </c:pt>
                <c:pt idx="13">
                  <c:v>-0.9</c:v>
                </c:pt>
                <c:pt idx="14">
                  <c:v>-0.8</c:v>
                </c:pt>
                <c:pt idx="15">
                  <c:v>-0.7</c:v>
                </c:pt>
                <c:pt idx="16">
                  <c:v>-1</c:v>
                </c:pt>
                <c:pt idx="17">
                  <c:v>2</c:v>
                </c:pt>
                <c:pt idx="18">
                  <c:v>2</c:v>
                </c:pt>
                <c:pt idx="19">
                  <c:v>-2</c:v>
                </c:pt>
                <c:pt idx="20">
                  <c:v>-2</c:v>
                </c:pt>
              </c:numCache>
            </c:numRef>
          </c:yVal>
          <c:smooth val="0"/>
          <c:extLst>
            <c:ext xmlns:c16="http://schemas.microsoft.com/office/drawing/2014/chart" uri="{C3380CC4-5D6E-409C-BE32-E72D297353CC}">
              <c16:uniqueId val="{00000008-FEF4-459B-8952-42D4731BFF8E}"/>
            </c:ext>
          </c:extLst>
        </c:ser>
        <c:dLbls>
          <c:showLegendKey val="0"/>
          <c:showVal val="0"/>
          <c:showCatName val="0"/>
          <c:showSerName val="0"/>
          <c:showPercent val="0"/>
          <c:showBubbleSize val="0"/>
        </c:dLbls>
        <c:axId val="680532552"/>
        <c:axId val="680528288"/>
      </c:scatterChart>
      <c:valAx>
        <c:axId val="680532552"/>
        <c:scaling>
          <c:orientation val="minMax"/>
        </c:scaling>
        <c:delete val="1"/>
        <c:axPos val="b"/>
        <c:numFmt formatCode="General" sourceLinked="1"/>
        <c:majorTickMark val="none"/>
        <c:minorTickMark val="none"/>
        <c:tickLblPos val="nextTo"/>
        <c:crossAx val="680528288"/>
        <c:crosses val="autoZero"/>
        <c:crossBetween val="midCat"/>
      </c:valAx>
      <c:valAx>
        <c:axId val="680528288"/>
        <c:scaling>
          <c:orientation val="minMax"/>
        </c:scaling>
        <c:delete val="1"/>
        <c:axPos val="l"/>
        <c:numFmt formatCode="General" sourceLinked="1"/>
        <c:majorTickMark val="none"/>
        <c:minorTickMark val="none"/>
        <c:tickLblPos val="nextTo"/>
        <c:crossAx val="68053255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'（解答）【演習問題２】タイリング'!$C$8</c:f>
              <c:strCache>
                <c:ptCount val="1"/>
                <c:pt idx="0">
                  <c:v>y</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Pt>
            <c:idx val="17"/>
            <c:marker>
              <c:symbol val="none"/>
            </c:marker>
            <c:bubble3D val="0"/>
            <c:spPr>
              <a:ln w="19050" cap="rnd">
                <a:noFill/>
                <a:round/>
              </a:ln>
              <a:effectLst/>
            </c:spPr>
            <c:extLst>
              <c:ext xmlns:c16="http://schemas.microsoft.com/office/drawing/2014/chart" uri="{C3380CC4-5D6E-409C-BE32-E72D297353CC}">
                <c16:uniqueId val="{00000001-52D0-4635-9C45-DBB3AEF18E1B}"/>
              </c:ext>
            </c:extLst>
          </c:dPt>
          <c:dPt>
            <c:idx val="18"/>
            <c:marker>
              <c:symbol val="none"/>
            </c:marker>
            <c:bubble3D val="0"/>
            <c:spPr>
              <a:ln w="19050" cap="rnd">
                <a:noFill/>
                <a:round/>
              </a:ln>
              <a:effectLst/>
            </c:spPr>
            <c:extLst>
              <c:ext xmlns:c16="http://schemas.microsoft.com/office/drawing/2014/chart" uri="{C3380CC4-5D6E-409C-BE32-E72D297353CC}">
                <c16:uniqueId val="{00000003-52D0-4635-9C45-DBB3AEF18E1B}"/>
              </c:ext>
            </c:extLst>
          </c:dPt>
          <c:dPt>
            <c:idx val="19"/>
            <c:marker>
              <c:symbol val="none"/>
            </c:marker>
            <c:bubble3D val="0"/>
            <c:spPr>
              <a:ln w="19050" cap="rnd">
                <a:noFill/>
                <a:round/>
              </a:ln>
              <a:effectLst/>
            </c:spPr>
            <c:extLst>
              <c:ext xmlns:c16="http://schemas.microsoft.com/office/drawing/2014/chart" uri="{C3380CC4-5D6E-409C-BE32-E72D297353CC}">
                <c16:uniqueId val="{00000005-52D0-4635-9C45-DBB3AEF18E1B}"/>
              </c:ext>
            </c:extLst>
          </c:dPt>
          <c:dPt>
            <c:idx val="20"/>
            <c:marker>
              <c:symbol val="none"/>
            </c:marker>
            <c:bubble3D val="0"/>
            <c:spPr>
              <a:ln w="19050" cap="rnd">
                <a:noFill/>
                <a:round/>
              </a:ln>
              <a:effectLst/>
            </c:spPr>
            <c:extLst>
              <c:ext xmlns:c16="http://schemas.microsoft.com/office/drawing/2014/chart" uri="{C3380CC4-5D6E-409C-BE32-E72D297353CC}">
                <c16:uniqueId val="{00000007-52D0-4635-9C45-DBB3AEF18E1B}"/>
              </c:ext>
            </c:extLst>
          </c:dPt>
          <c:xVal>
            <c:numRef>
              <c:f>'（解答）【演習問題２】タイリング'!$B$9:$B$29</c:f>
              <c:numCache>
                <c:formatCode>General</c:formatCode>
                <c:ptCount val="21"/>
                <c:pt idx="0">
                  <c:v>1</c:v>
                </c:pt>
                <c:pt idx="1">
                  <c:v>1.6</c:v>
                </c:pt>
                <c:pt idx="2">
                  <c:v>1.5</c:v>
                </c:pt>
                <c:pt idx="3">
                  <c:v>1.4</c:v>
                </c:pt>
                <c:pt idx="4">
                  <c:v>1</c:v>
                </c:pt>
                <c:pt idx="5">
                  <c:v>0.5</c:v>
                </c:pt>
                <c:pt idx="6">
                  <c:v>0</c:v>
                </c:pt>
                <c:pt idx="7">
                  <c:v>-0.5</c:v>
                </c:pt>
                <c:pt idx="8">
                  <c:v>-1</c:v>
                </c:pt>
                <c:pt idx="9">
                  <c:v>-0.6</c:v>
                </c:pt>
                <c:pt idx="10">
                  <c:v>-0.5</c:v>
                </c:pt>
                <c:pt idx="11">
                  <c:v>-0.4</c:v>
                </c:pt>
                <c:pt idx="12">
                  <c:v>-1</c:v>
                </c:pt>
                <c:pt idx="13">
                  <c:v>-0.5</c:v>
                </c:pt>
                <c:pt idx="14">
                  <c:v>0</c:v>
                </c:pt>
                <c:pt idx="15">
                  <c:v>0.5</c:v>
                </c:pt>
                <c:pt idx="16">
                  <c:v>1</c:v>
                </c:pt>
                <c:pt idx="17">
                  <c:v>2</c:v>
                </c:pt>
                <c:pt idx="18">
                  <c:v>-2</c:v>
                </c:pt>
                <c:pt idx="19">
                  <c:v>-2</c:v>
                </c:pt>
                <c:pt idx="20">
                  <c:v>2</c:v>
                </c:pt>
              </c:numCache>
            </c:numRef>
          </c:xVal>
          <c:yVal>
            <c:numRef>
              <c:f>'（解答）【演習問題２】タイリング'!$C$9:$C$29</c:f>
              <c:numCache>
                <c:formatCode>General</c:formatCode>
                <c:ptCount val="21"/>
                <c:pt idx="0">
                  <c:v>-1</c:v>
                </c:pt>
                <c:pt idx="1">
                  <c:v>-0.5</c:v>
                </c:pt>
                <c:pt idx="2">
                  <c:v>0</c:v>
                </c:pt>
                <c:pt idx="3">
                  <c:v>0.5</c:v>
                </c:pt>
                <c:pt idx="4">
                  <c:v>1</c:v>
                </c:pt>
                <c:pt idx="5">
                  <c:v>1.3</c:v>
                </c:pt>
                <c:pt idx="6">
                  <c:v>1.2</c:v>
                </c:pt>
                <c:pt idx="7">
                  <c:v>1.1000000000000001</c:v>
                </c:pt>
                <c:pt idx="8">
                  <c:v>1</c:v>
                </c:pt>
                <c:pt idx="9">
                  <c:v>0.5</c:v>
                </c:pt>
                <c:pt idx="10">
                  <c:v>0</c:v>
                </c:pt>
                <c:pt idx="11">
                  <c:v>-0.5</c:v>
                </c:pt>
                <c:pt idx="12">
                  <c:v>-1</c:v>
                </c:pt>
                <c:pt idx="13">
                  <c:v>-0.9</c:v>
                </c:pt>
                <c:pt idx="14">
                  <c:v>-0.8</c:v>
                </c:pt>
                <c:pt idx="15">
                  <c:v>-0.7</c:v>
                </c:pt>
                <c:pt idx="16">
                  <c:v>-1</c:v>
                </c:pt>
                <c:pt idx="17">
                  <c:v>2</c:v>
                </c:pt>
                <c:pt idx="18">
                  <c:v>2</c:v>
                </c:pt>
                <c:pt idx="19">
                  <c:v>-2</c:v>
                </c:pt>
                <c:pt idx="20">
                  <c:v>-2</c:v>
                </c:pt>
              </c:numCache>
            </c:numRef>
          </c:yVal>
          <c:smooth val="0"/>
          <c:extLst>
            <c:ext xmlns:c16="http://schemas.microsoft.com/office/drawing/2014/chart" uri="{C3380CC4-5D6E-409C-BE32-E72D297353CC}">
              <c16:uniqueId val="{00000008-52D0-4635-9C45-DBB3AEF18E1B}"/>
            </c:ext>
          </c:extLst>
        </c:ser>
        <c:dLbls>
          <c:showLegendKey val="0"/>
          <c:showVal val="0"/>
          <c:showCatName val="0"/>
          <c:showSerName val="0"/>
          <c:showPercent val="0"/>
          <c:showBubbleSize val="0"/>
        </c:dLbls>
        <c:axId val="680532552"/>
        <c:axId val="680528288"/>
      </c:scatterChart>
      <c:valAx>
        <c:axId val="680532552"/>
        <c:scaling>
          <c:orientation val="minMax"/>
        </c:scaling>
        <c:delete val="1"/>
        <c:axPos val="b"/>
        <c:numFmt formatCode="General" sourceLinked="1"/>
        <c:majorTickMark val="none"/>
        <c:minorTickMark val="none"/>
        <c:tickLblPos val="nextTo"/>
        <c:crossAx val="680528288"/>
        <c:crosses val="autoZero"/>
        <c:crossBetween val="midCat"/>
      </c:valAx>
      <c:valAx>
        <c:axId val="680528288"/>
        <c:scaling>
          <c:orientation val="minMax"/>
        </c:scaling>
        <c:delete val="1"/>
        <c:axPos val="l"/>
        <c:numFmt formatCode="General" sourceLinked="1"/>
        <c:majorTickMark val="none"/>
        <c:minorTickMark val="none"/>
        <c:tickLblPos val="nextTo"/>
        <c:crossAx val="68053255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'（解答）【演習問題２】タイリング'!$C$8</c:f>
              <c:strCache>
                <c:ptCount val="1"/>
                <c:pt idx="0">
                  <c:v>y</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Pt>
            <c:idx val="17"/>
            <c:marker>
              <c:symbol val="none"/>
            </c:marker>
            <c:bubble3D val="0"/>
            <c:spPr>
              <a:ln w="19050" cap="rnd">
                <a:noFill/>
                <a:round/>
              </a:ln>
              <a:effectLst/>
            </c:spPr>
            <c:extLst>
              <c:ext xmlns:c16="http://schemas.microsoft.com/office/drawing/2014/chart" uri="{C3380CC4-5D6E-409C-BE32-E72D297353CC}">
                <c16:uniqueId val="{00000001-D286-4C2B-8C22-B8F7108EA33D}"/>
              </c:ext>
            </c:extLst>
          </c:dPt>
          <c:dPt>
            <c:idx val="18"/>
            <c:marker>
              <c:symbol val="none"/>
            </c:marker>
            <c:bubble3D val="0"/>
            <c:spPr>
              <a:ln w="19050" cap="rnd">
                <a:noFill/>
                <a:round/>
              </a:ln>
              <a:effectLst/>
            </c:spPr>
            <c:extLst>
              <c:ext xmlns:c16="http://schemas.microsoft.com/office/drawing/2014/chart" uri="{C3380CC4-5D6E-409C-BE32-E72D297353CC}">
                <c16:uniqueId val="{00000003-D286-4C2B-8C22-B8F7108EA33D}"/>
              </c:ext>
            </c:extLst>
          </c:dPt>
          <c:dPt>
            <c:idx val="19"/>
            <c:marker>
              <c:symbol val="none"/>
            </c:marker>
            <c:bubble3D val="0"/>
            <c:spPr>
              <a:ln w="19050" cap="rnd">
                <a:noFill/>
                <a:round/>
              </a:ln>
              <a:effectLst/>
            </c:spPr>
            <c:extLst>
              <c:ext xmlns:c16="http://schemas.microsoft.com/office/drawing/2014/chart" uri="{C3380CC4-5D6E-409C-BE32-E72D297353CC}">
                <c16:uniqueId val="{00000005-D286-4C2B-8C22-B8F7108EA33D}"/>
              </c:ext>
            </c:extLst>
          </c:dPt>
          <c:dPt>
            <c:idx val="20"/>
            <c:marker>
              <c:symbol val="none"/>
            </c:marker>
            <c:bubble3D val="0"/>
            <c:spPr>
              <a:ln w="19050" cap="rnd">
                <a:noFill/>
                <a:round/>
              </a:ln>
              <a:effectLst/>
            </c:spPr>
            <c:extLst>
              <c:ext xmlns:c16="http://schemas.microsoft.com/office/drawing/2014/chart" uri="{C3380CC4-5D6E-409C-BE32-E72D297353CC}">
                <c16:uniqueId val="{00000007-D286-4C2B-8C22-B8F7108EA33D}"/>
              </c:ext>
            </c:extLst>
          </c:dPt>
          <c:xVal>
            <c:numRef>
              <c:f>'（解答）【演習問題２】タイリング'!$B$9:$B$29</c:f>
              <c:numCache>
                <c:formatCode>General</c:formatCode>
                <c:ptCount val="21"/>
                <c:pt idx="0">
                  <c:v>1</c:v>
                </c:pt>
                <c:pt idx="1">
                  <c:v>1.6</c:v>
                </c:pt>
                <c:pt idx="2">
                  <c:v>1.5</c:v>
                </c:pt>
                <c:pt idx="3">
                  <c:v>1.4</c:v>
                </c:pt>
                <c:pt idx="4">
                  <c:v>1</c:v>
                </c:pt>
                <c:pt idx="5">
                  <c:v>0.5</c:v>
                </c:pt>
                <c:pt idx="6">
                  <c:v>0</c:v>
                </c:pt>
                <c:pt idx="7">
                  <c:v>-0.5</c:v>
                </c:pt>
                <c:pt idx="8">
                  <c:v>-1</c:v>
                </c:pt>
                <c:pt idx="9">
                  <c:v>-0.6</c:v>
                </c:pt>
                <c:pt idx="10">
                  <c:v>-0.5</c:v>
                </c:pt>
                <c:pt idx="11">
                  <c:v>-0.4</c:v>
                </c:pt>
                <c:pt idx="12">
                  <c:v>-1</c:v>
                </c:pt>
                <c:pt idx="13">
                  <c:v>-0.5</c:v>
                </c:pt>
                <c:pt idx="14">
                  <c:v>0</c:v>
                </c:pt>
                <c:pt idx="15">
                  <c:v>0.5</c:v>
                </c:pt>
                <c:pt idx="16">
                  <c:v>1</c:v>
                </c:pt>
                <c:pt idx="17">
                  <c:v>2</c:v>
                </c:pt>
                <c:pt idx="18">
                  <c:v>-2</c:v>
                </c:pt>
                <c:pt idx="19">
                  <c:v>-2</c:v>
                </c:pt>
                <c:pt idx="20">
                  <c:v>2</c:v>
                </c:pt>
              </c:numCache>
            </c:numRef>
          </c:xVal>
          <c:yVal>
            <c:numRef>
              <c:f>'（解答）【演習問題２】タイリング'!$C$9:$C$29</c:f>
              <c:numCache>
                <c:formatCode>General</c:formatCode>
                <c:ptCount val="21"/>
                <c:pt idx="0">
                  <c:v>-1</c:v>
                </c:pt>
                <c:pt idx="1">
                  <c:v>-0.5</c:v>
                </c:pt>
                <c:pt idx="2">
                  <c:v>0</c:v>
                </c:pt>
                <c:pt idx="3">
                  <c:v>0.5</c:v>
                </c:pt>
                <c:pt idx="4">
                  <c:v>1</c:v>
                </c:pt>
                <c:pt idx="5">
                  <c:v>1.3</c:v>
                </c:pt>
                <c:pt idx="6">
                  <c:v>1.2</c:v>
                </c:pt>
                <c:pt idx="7">
                  <c:v>1.1000000000000001</c:v>
                </c:pt>
                <c:pt idx="8">
                  <c:v>1</c:v>
                </c:pt>
                <c:pt idx="9">
                  <c:v>0.5</c:v>
                </c:pt>
                <c:pt idx="10">
                  <c:v>0</c:v>
                </c:pt>
                <c:pt idx="11">
                  <c:v>-0.5</c:v>
                </c:pt>
                <c:pt idx="12">
                  <c:v>-1</c:v>
                </c:pt>
                <c:pt idx="13">
                  <c:v>-0.9</c:v>
                </c:pt>
                <c:pt idx="14">
                  <c:v>-0.8</c:v>
                </c:pt>
                <c:pt idx="15">
                  <c:v>-0.7</c:v>
                </c:pt>
                <c:pt idx="16">
                  <c:v>-1</c:v>
                </c:pt>
                <c:pt idx="17">
                  <c:v>2</c:v>
                </c:pt>
                <c:pt idx="18">
                  <c:v>2</c:v>
                </c:pt>
                <c:pt idx="19">
                  <c:v>-2</c:v>
                </c:pt>
                <c:pt idx="20">
                  <c:v>-2</c:v>
                </c:pt>
              </c:numCache>
            </c:numRef>
          </c:yVal>
          <c:smooth val="0"/>
          <c:extLst>
            <c:ext xmlns:c16="http://schemas.microsoft.com/office/drawing/2014/chart" uri="{C3380CC4-5D6E-409C-BE32-E72D297353CC}">
              <c16:uniqueId val="{00000008-D286-4C2B-8C22-B8F7108EA33D}"/>
            </c:ext>
          </c:extLst>
        </c:ser>
        <c:dLbls>
          <c:showLegendKey val="0"/>
          <c:showVal val="0"/>
          <c:showCatName val="0"/>
          <c:showSerName val="0"/>
          <c:showPercent val="0"/>
          <c:showBubbleSize val="0"/>
        </c:dLbls>
        <c:axId val="680532552"/>
        <c:axId val="680528288"/>
      </c:scatterChart>
      <c:valAx>
        <c:axId val="680532552"/>
        <c:scaling>
          <c:orientation val="minMax"/>
        </c:scaling>
        <c:delete val="1"/>
        <c:axPos val="b"/>
        <c:numFmt formatCode="General" sourceLinked="1"/>
        <c:majorTickMark val="none"/>
        <c:minorTickMark val="none"/>
        <c:tickLblPos val="nextTo"/>
        <c:crossAx val="680528288"/>
        <c:crosses val="autoZero"/>
        <c:crossBetween val="midCat"/>
      </c:valAx>
      <c:valAx>
        <c:axId val="680528288"/>
        <c:scaling>
          <c:orientation val="minMax"/>
        </c:scaling>
        <c:delete val="1"/>
        <c:axPos val="l"/>
        <c:numFmt formatCode="General" sourceLinked="1"/>
        <c:majorTickMark val="none"/>
        <c:minorTickMark val="none"/>
        <c:tickLblPos val="nextTo"/>
        <c:crossAx val="68053255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'（解答）【演習問題３】万華鏡'!$F$10</c:f>
              <c:strCache>
                <c:ptCount val="1"/>
                <c:pt idx="0">
                  <c:v>y</c:v>
                </c:pt>
              </c:strCache>
            </c:strRef>
          </c:tx>
          <c:spPr>
            <a:ln w="19050" cap="rnd">
              <a:solidFill>
                <a:schemeClr val="accent1"/>
              </a:solidFill>
              <a:round/>
            </a:ln>
            <a:effectLst/>
          </c:spPr>
          <c:marker>
            <c:symbol val="none"/>
          </c:marker>
          <c:dPt>
            <c:idx val="67"/>
            <c:marker>
              <c:symbol val="none"/>
            </c:marker>
            <c:bubble3D val="0"/>
            <c:spPr>
              <a:ln w="19050" cap="rnd">
                <a:noFill/>
                <a:round/>
              </a:ln>
              <a:effectLst/>
            </c:spPr>
            <c:extLst>
              <c:ext xmlns:c16="http://schemas.microsoft.com/office/drawing/2014/chart" uri="{C3380CC4-5D6E-409C-BE32-E72D297353CC}">
                <c16:uniqueId val="{00000001-34EE-4C6A-9143-77FA2B28A42B}"/>
              </c:ext>
            </c:extLst>
          </c:dPt>
          <c:dPt>
            <c:idx val="68"/>
            <c:marker>
              <c:symbol val="none"/>
            </c:marker>
            <c:bubble3D val="0"/>
            <c:spPr>
              <a:ln w="19050" cap="rnd">
                <a:noFill/>
                <a:round/>
              </a:ln>
              <a:effectLst/>
            </c:spPr>
            <c:extLst>
              <c:ext xmlns:c16="http://schemas.microsoft.com/office/drawing/2014/chart" uri="{C3380CC4-5D6E-409C-BE32-E72D297353CC}">
                <c16:uniqueId val="{00000003-34EE-4C6A-9143-77FA2B28A42B}"/>
              </c:ext>
            </c:extLst>
          </c:dPt>
          <c:dPt>
            <c:idx val="69"/>
            <c:marker>
              <c:symbol val="none"/>
            </c:marker>
            <c:bubble3D val="0"/>
            <c:spPr>
              <a:ln w="19050" cap="rnd">
                <a:noFill/>
                <a:round/>
              </a:ln>
              <a:effectLst/>
            </c:spPr>
            <c:extLst>
              <c:ext xmlns:c16="http://schemas.microsoft.com/office/drawing/2014/chart" uri="{C3380CC4-5D6E-409C-BE32-E72D297353CC}">
                <c16:uniqueId val="{00000005-34EE-4C6A-9143-77FA2B28A42B}"/>
              </c:ext>
            </c:extLst>
          </c:dPt>
          <c:dPt>
            <c:idx val="70"/>
            <c:marker>
              <c:symbol val="none"/>
            </c:marker>
            <c:bubble3D val="0"/>
            <c:spPr>
              <a:ln w="19050" cap="rnd">
                <a:noFill/>
                <a:round/>
              </a:ln>
              <a:effectLst/>
            </c:spPr>
            <c:extLst>
              <c:ext xmlns:c16="http://schemas.microsoft.com/office/drawing/2014/chart" uri="{C3380CC4-5D6E-409C-BE32-E72D297353CC}">
                <c16:uniqueId val="{00000007-34EE-4C6A-9143-77FA2B28A42B}"/>
              </c:ext>
            </c:extLst>
          </c:dPt>
          <c:xVal>
            <c:numRef>
              <c:f>'（解答）【演習問題３】万華鏡'!$E$11:$E$81</c:f>
              <c:numCache>
                <c:formatCode>General</c:formatCode>
                <c:ptCount val="71"/>
                <c:pt idx="0">
                  <c:v>0.23350669201646995</c:v>
                </c:pt>
                <c:pt idx="1">
                  <c:v>0.30140166585869083</c:v>
                </c:pt>
                <c:pt idx="2">
                  <c:v>0.81998993152998989</c:v>
                </c:pt>
                <c:pt idx="3">
                  <c:v>3.052195013177986E-2</c:v>
                </c:pt>
                <c:pt idx="4">
                  <c:v>0.13047033729413945</c:v>
                </c:pt>
                <c:pt idx="5">
                  <c:v>0.39399687233021896</c:v>
                </c:pt>
                <c:pt idx="6">
                  <c:v>0.23367229071003137</c:v>
                </c:pt>
                <c:pt idx="7">
                  <c:v>0.8912170144893159</c:v>
                </c:pt>
                <c:pt idx="8">
                  <c:v>0.54436514197565922</c:v>
                </c:pt>
                <c:pt idx="9">
                  <c:v>0.69980874808502058</c:v>
                </c:pt>
                <c:pt idx="10">
                  <c:v>0.40101636316423395</c:v>
                </c:pt>
                <c:pt idx="11">
                  <c:v>0.10152831591472875</c:v>
                </c:pt>
                <c:pt idx="12">
                  <c:v>5.3801951154324817E-2</c:v>
                </c:pt>
                <c:pt idx="13">
                  <c:v>0.11567756781073141</c:v>
                </c:pt>
                <c:pt idx="14">
                  <c:v>1.4495243924535323E-2</c:v>
                </c:pt>
                <c:pt idx="15">
                  <c:v>-7.8862710522062507E-2</c:v>
                </c:pt>
                <c:pt idx="16">
                  <c:v>-0.17831227708159442</c:v>
                </c:pt>
                <c:pt idx="17">
                  <c:v>-4.5414291180405797E-2</c:v>
                </c:pt>
                <c:pt idx="18">
                  <c:v>0.41685115879593099</c:v>
                </c:pt>
                <c:pt idx="19">
                  <c:v>-0.33253440005945228</c:v>
                </c:pt>
                <c:pt idx="20">
                  <c:v>-0.23060620964671646</c:v>
                </c:pt>
                <c:pt idx="21">
                  <c:v>-0.33445316456765961</c:v>
                </c:pt>
                <c:pt idx="22">
                  <c:v>-0.13197837610174121</c:v>
                </c:pt>
                <c:pt idx="23">
                  <c:v>-0.24759971470436598</c:v>
                </c:pt>
                <c:pt idx="24">
                  <c:v>-0.70431236371925854</c:v>
                </c:pt>
                <c:pt idx="25">
                  <c:v>-1.6026706207244536E-2</c:v>
                </c:pt>
                <c:pt idx="26">
                  <c:v>-0.20933304781620196</c:v>
                </c:pt>
                <c:pt idx="27">
                  <c:v>-0.57230914941181343</c:v>
                </c:pt>
                <c:pt idx="28">
                  <c:v>-0.27908658189043717</c:v>
                </c:pt>
                <c:pt idx="29">
                  <c:v>-0.47436585569338474</c:v>
                </c:pt>
                <c:pt idx="30">
                  <c:v>-0.87689954203511156</c:v>
                </c:pt>
                <c:pt idx="31">
                  <c:v>-0.9304149577317371</c:v>
                </c:pt>
                <c:pt idx="32">
                  <c:v>-0.73546952773189367</c:v>
                </c:pt>
                <c:pt idx="33">
                  <c:v>-0.23350669201646998</c:v>
                </c:pt>
                <c:pt idx="34">
                  <c:v>-0.30140166585869083</c:v>
                </c:pt>
                <c:pt idx="35">
                  <c:v>-0.81998993152999011</c:v>
                </c:pt>
                <c:pt idx="36">
                  <c:v>-3.0521950131779864E-2</c:v>
                </c:pt>
                <c:pt idx="37">
                  <c:v>-0.13047033729413951</c:v>
                </c:pt>
                <c:pt idx="38">
                  <c:v>-0.39399687233021913</c:v>
                </c:pt>
                <c:pt idx="39">
                  <c:v>-0.23367229071003143</c:v>
                </c:pt>
                <c:pt idx="40">
                  <c:v>-0.8912170144893159</c:v>
                </c:pt>
                <c:pt idx="41">
                  <c:v>-0.54436514197565955</c:v>
                </c:pt>
                <c:pt idx="42">
                  <c:v>-0.6998087480850208</c:v>
                </c:pt>
                <c:pt idx="43">
                  <c:v>-0.40101636316423417</c:v>
                </c:pt>
                <c:pt idx="44">
                  <c:v>-0.10152831591472883</c:v>
                </c:pt>
                <c:pt idx="45">
                  <c:v>-5.3801951154324915E-2</c:v>
                </c:pt>
                <c:pt idx="46">
                  <c:v>-0.11567756781073174</c:v>
                </c:pt>
                <c:pt idx="47">
                  <c:v>-1.4495243924535337E-2</c:v>
                </c:pt>
                <c:pt idx="48">
                  <c:v>7.8862710522062424E-2</c:v>
                </c:pt>
                <c:pt idx="49">
                  <c:v>0.17831227708159428</c:v>
                </c:pt>
                <c:pt idx="50">
                  <c:v>4.5414291180405686E-2</c:v>
                </c:pt>
                <c:pt idx="51">
                  <c:v>-0.41685115879593143</c:v>
                </c:pt>
                <c:pt idx="52">
                  <c:v>0.3325344000594519</c:v>
                </c:pt>
                <c:pt idx="53">
                  <c:v>0.23060620964671624</c:v>
                </c:pt>
                <c:pt idx="54">
                  <c:v>0.33445316456765928</c:v>
                </c:pt>
                <c:pt idx="55">
                  <c:v>0.13197837610174112</c:v>
                </c:pt>
                <c:pt idx="56">
                  <c:v>0.24759971470436587</c:v>
                </c:pt>
                <c:pt idx="57">
                  <c:v>0.70431236371925843</c:v>
                </c:pt>
                <c:pt idx="58">
                  <c:v>1.6026706207244522E-2</c:v>
                </c:pt>
                <c:pt idx="59">
                  <c:v>0.20933304781620196</c:v>
                </c:pt>
                <c:pt idx="60">
                  <c:v>0.57230914941181343</c:v>
                </c:pt>
                <c:pt idx="61">
                  <c:v>0.27908658189043711</c:v>
                </c:pt>
                <c:pt idx="62">
                  <c:v>0.47436585569338441</c:v>
                </c:pt>
                <c:pt idx="63">
                  <c:v>0.87689954203511156</c:v>
                </c:pt>
                <c:pt idx="64">
                  <c:v>0.9304149577317371</c:v>
                </c:pt>
                <c:pt idx="65">
                  <c:v>0.73546952773189356</c:v>
                </c:pt>
                <c:pt idx="66">
                  <c:v>0.23350669201647001</c:v>
                </c:pt>
                <c:pt idx="67">
                  <c:v>1</c:v>
                </c:pt>
                <c:pt idx="68">
                  <c:v>-1</c:v>
                </c:pt>
                <c:pt idx="69">
                  <c:v>-1</c:v>
                </c:pt>
                <c:pt idx="70">
                  <c:v>1</c:v>
                </c:pt>
              </c:numCache>
            </c:numRef>
          </c:xVal>
          <c:yVal>
            <c:numRef>
              <c:f>'（解答）【演習問題３】万華鏡'!$F$11:$F$81</c:f>
              <c:numCache>
                <c:formatCode>General</c:formatCode>
                <c:ptCount val="71"/>
                <c:pt idx="0">
                  <c:v>1.758035044581199E-2</c:v>
                </c:pt>
                <c:pt idx="1">
                  <c:v>0.11188919095396377</c:v>
                </c:pt>
                <c:pt idx="2">
                  <c:v>0.33984845787216866</c:v>
                </c:pt>
                <c:pt idx="3">
                  <c:v>8.8419016117592729E-4</c:v>
                </c:pt>
                <c:pt idx="4">
                  <c:v>0.16638989865590537</c:v>
                </c:pt>
                <c:pt idx="5">
                  <c:v>0.43337148264546999</c:v>
                </c:pt>
                <c:pt idx="6">
                  <c:v>0.18735066641971981</c:v>
                </c:pt>
                <c:pt idx="7">
                  <c:v>3.3206125736104881E-2</c:v>
                </c:pt>
                <c:pt idx="8">
                  <c:v>0.69826701203536679</c:v>
                </c:pt>
                <c:pt idx="9">
                  <c:v>0.67031588352080373</c:v>
                </c:pt>
                <c:pt idx="10">
                  <c:v>0.61772015441123629</c:v>
                </c:pt>
                <c:pt idx="11">
                  <c:v>0.21101290246283794</c:v>
                </c:pt>
                <c:pt idx="12">
                  <c:v>0.31696609485355703</c:v>
                </c:pt>
                <c:pt idx="13">
                  <c:v>0.880056340488518</c:v>
                </c:pt>
                <c:pt idx="14">
                  <c:v>2.6874879267751117E-2</c:v>
                </c:pt>
                <c:pt idx="15">
                  <c:v>0.19618557586500171</c:v>
                </c:pt>
                <c:pt idx="16">
                  <c:v>0.5578970417723188</c:v>
                </c:pt>
                <c:pt idx="17">
                  <c:v>0.29604147312524953</c:v>
                </c:pt>
                <c:pt idx="18">
                  <c:v>0.7884196377007241</c:v>
                </c:pt>
                <c:pt idx="19">
                  <c:v>0.82056754790332698</c:v>
                </c:pt>
                <c:pt idx="20">
                  <c:v>0.94121009539261435</c:v>
                </c:pt>
                <c:pt idx="21">
                  <c:v>0.65615043503909098</c:v>
                </c:pt>
                <c:pt idx="22">
                  <c:v>0.193432552017026</c:v>
                </c:pt>
                <c:pt idx="23">
                  <c:v>0.20507690389959332</c:v>
                </c:pt>
                <c:pt idx="24">
                  <c:v>0.54020788261634956</c:v>
                </c:pt>
                <c:pt idx="25">
                  <c:v>2.5990689106575197E-2</c:v>
                </c:pt>
                <c:pt idx="26">
                  <c:v>2.9795677209096399E-2</c:v>
                </c:pt>
                <c:pt idx="27">
                  <c:v>0.12452555912684896</c:v>
                </c:pt>
                <c:pt idx="28">
                  <c:v>0.1086908067055298</c:v>
                </c:pt>
                <c:pt idx="29">
                  <c:v>0.7552135119646195</c:v>
                </c:pt>
                <c:pt idx="30">
                  <c:v>0.12230053586796041</c:v>
                </c:pt>
                <c:pt idx="31">
                  <c:v>0.27089421187181073</c:v>
                </c:pt>
                <c:pt idx="32">
                  <c:v>3.8430280627854863E-2</c:v>
                </c:pt>
                <c:pt idx="33">
                  <c:v>-1.7580350445811896E-2</c:v>
                </c:pt>
                <c:pt idx="34">
                  <c:v>-0.11188919095396366</c:v>
                </c:pt>
                <c:pt idx="35">
                  <c:v>-0.33984845787216844</c:v>
                </c:pt>
                <c:pt idx="36">
                  <c:v>-8.841901611759146E-4</c:v>
                </c:pt>
                <c:pt idx="37">
                  <c:v>-0.16638989865590528</c:v>
                </c:pt>
                <c:pt idx="38">
                  <c:v>-0.43337148264546987</c:v>
                </c:pt>
                <c:pt idx="39">
                  <c:v>-0.18735066641971973</c:v>
                </c:pt>
                <c:pt idx="40">
                  <c:v>-3.3206125736104375E-2</c:v>
                </c:pt>
                <c:pt idx="41">
                  <c:v>-0.69826701203536656</c:v>
                </c:pt>
                <c:pt idx="42">
                  <c:v>-0.67031588352080362</c:v>
                </c:pt>
                <c:pt idx="43">
                  <c:v>-0.61772015441123607</c:v>
                </c:pt>
                <c:pt idx="44">
                  <c:v>-0.21101290246283791</c:v>
                </c:pt>
                <c:pt idx="45">
                  <c:v>-0.31696609485355698</c:v>
                </c:pt>
                <c:pt idx="46">
                  <c:v>-0.88005634048851811</c:v>
                </c:pt>
                <c:pt idx="47">
                  <c:v>-2.687487926775111E-2</c:v>
                </c:pt>
                <c:pt idx="48">
                  <c:v>-0.19618557586500174</c:v>
                </c:pt>
                <c:pt idx="49">
                  <c:v>-0.55789704177231891</c:v>
                </c:pt>
                <c:pt idx="50">
                  <c:v>-0.29604147312524953</c:v>
                </c:pt>
                <c:pt idx="51">
                  <c:v>-0.78841963770072387</c:v>
                </c:pt>
                <c:pt idx="52">
                  <c:v>-0.8205675479033272</c:v>
                </c:pt>
                <c:pt idx="53">
                  <c:v>-0.94121009539261458</c:v>
                </c:pt>
                <c:pt idx="54">
                  <c:v>-0.65615043503909098</c:v>
                </c:pt>
                <c:pt idx="55">
                  <c:v>-0.19343255201702605</c:v>
                </c:pt>
                <c:pt idx="56">
                  <c:v>-0.20507690389959338</c:v>
                </c:pt>
                <c:pt idx="57">
                  <c:v>-0.54020788261634989</c:v>
                </c:pt>
                <c:pt idx="58">
                  <c:v>-2.5990689106575204E-2</c:v>
                </c:pt>
                <c:pt idx="59">
                  <c:v>-2.9795677209096497E-2</c:v>
                </c:pt>
                <c:pt idx="60">
                  <c:v>-0.12452555912684912</c:v>
                </c:pt>
                <c:pt idx="61">
                  <c:v>-0.10869080670552989</c:v>
                </c:pt>
                <c:pt idx="62">
                  <c:v>-0.75521351196461972</c:v>
                </c:pt>
                <c:pt idx="63">
                  <c:v>-0.12230053586796086</c:v>
                </c:pt>
                <c:pt idx="64">
                  <c:v>-0.27089421187181106</c:v>
                </c:pt>
                <c:pt idx="65">
                  <c:v>-3.843028062785514E-2</c:v>
                </c:pt>
                <c:pt idx="66">
                  <c:v>1.7580350445811799E-2</c:v>
                </c:pt>
                <c:pt idx="67">
                  <c:v>1</c:v>
                </c:pt>
                <c:pt idx="68">
                  <c:v>1</c:v>
                </c:pt>
                <c:pt idx="69">
                  <c:v>-1</c:v>
                </c:pt>
                <c:pt idx="70">
                  <c:v>-1</c:v>
                </c:pt>
              </c:numCache>
            </c:numRef>
          </c:yVal>
          <c:smooth val="0"/>
          <c:extLst>
            <c:ext xmlns:c16="http://schemas.microsoft.com/office/drawing/2014/chart" uri="{C3380CC4-5D6E-409C-BE32-E72D297353CC}">
              <c16:uniqueId val="{00000008-34EE-4C6A-9143-77FA2B28A42B}"/>
            </c:ext>
          </c:extLst>
        </c:ser>
        <c:dLbls>
          <c:showLegendKey val="0"/>
          <c:showVal val="0"/>
          <c:showCatName val="0"/>
          <c:showSerName val="0"/>
          <c:showPercent val="0"/>
          <c:showBubbleSize val="0"/>
        </c:dLbls>
        <c:axId val="679110080"/>
        <c:axId val="679113688"/>
      </c:scatterChart>
      <c:valAx>
        <c:axId val="679110080"/>
        <c:scaling>
          <c:orientation val="minMax"/>
        </c:scaling>
        <c:delete val="1"/>
        <c:axPos val="b"/>
        <c:numFmt formatCode="General" sourceLinked="1"/>
        <c:majorTickMark val="none"/>
        <c:minorTickMark val="none"/>
        <c:tickLblPos val="nextTo"/>
        <c:crossAx val="679113688"/>
        <c:crosses val="autoZero"/>
        <c:crossBetween val="midCat"/>
      </c:valAx>
      <c:valAx>
        <c:axId val="679113688"/>
        <c:scaling>
          <c:orientation val="minMax"/>
        </c:scaling>
        <c:delete val="1"/>
        <c:axPos val="l"/>
        <c:numFmt formatCode="General" sourceLinked="1"/>
        <c:majorTickMark val="none"/>
        <c:minorTickMark val="none"/>
        <c:tickLblPos val="nextTo"/>
        <c:crossAx val="67911008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【付録】エッシャー化!$C$9</c:f>
              <c:strCache>
                <c:ptCount val="1"/>
                <c:pt idx="0">
                  <c:v>y</c:v>
                </c:pt>
              </c:strCache>
            </c:strRef>
          </c:tx>
          <c:spPr>
            <a:ln w="19050" cap="rnd">
              <a:solidFill>
                <a:schemeClr val="tx1"/>
              </a:solidFill>
              <a:round/>
            </a:ln>
            <a:effectLst/>
          </c:spPr>
          <c:marker>
            <c:symbol val="none"/>
          </c:marker>
          <c:dPt>
            <c:idx val="21"/>
            <c:marker>
              <c:symbol val="none"/>
            </c:marker>
            <c:bubble3D val="0"/>
            <c:spPr>
              <a:ln w="19050" cap="rnd">
                <a:noFill/>
                <a:round/>
              </a:ln>
              <a:effectLst/>
            </c:spPr>
            <c:extLst>
              <c:ext xmlns:c16="http://schemas.microsoft.com/office/drawing/2014/chart" uri="{C3380CC4-5D6E-409C-BE32-E72D297353CC}">
                <c16:uniqueId val="{00000001-D67D-4473-964D-C7D22E315518}"/>
              </c:ext>
            </c:extLst>
          </c:dPt>
          <c:dPt>
            <c:idx val="22"/>
            <c:marker>
              <c:symbol val="none"/>
            </c:marker>
            <c:bubble3D val="0"/>
            <c:spPr>
              <a:ln w="19050" cap="rnd">
                <a:noFill/>
                <a:round/>
              </a:ln>
              <a:effectLst/>
            </c:spPr>
            <c:extLst>
              <c:ext xmlns:c16="http://schemas.microsoft.com/office/drawing/2014/chart" uri="{C3380CC4-5D6E-409C-BE32-E72D297353CC}">
                <c16:uniqueId val="{00000003-D67D-4473-964D-C7D22E315518}"/>
              </c:ext>
            </c:extLst>
          </c:dPt>
          <c:dPt>
            <c:idx val="23"/>
            <c:marker>
              <c:symbol val="none"/>
            </c:marker>
            <c:bubble3D val="0"/>
            <c:spPr>
              <a:ln w="19050" cap="rnd">
                <a:noFill/>
                <a:round/>
              </a:ln>
              <a:effectLst/>
            </c:spPr>
            <c:extLst>
              <c:ext xmlns:c16="http://schemas.microsoft.com/office/drawing/2014/chart" uri="{C3380CC4-5D6E-409C-BE32-E72D297353CC}">
                <c16:uniqueId val="{00000005-D67D-4473-964D-C7D22E315518}"/>
              </c:ext>
            </c:extLst>
          </c:dPt>
          <c:dPt>
            <c:idx val="24"/>
            <c:marker>
              <c:symbol val="none"/>
            </c:marker>
            <c:bubble3D val="0"/>
            <c:spPr>
              <a:ln w="19050" cap="rnd">
                <a:noFill/>
                <a:round/>
              </a:ln>
              <a:effectLst/>
            </c:spPr>
            <c:extLst>
              <c:ext xmlns:c16="http://schemas.microsoft.com/office/drawing/2014/chart" uri="{C3380CC4-5D6E-409C-BE32-E72D297353CC}">
                <c16:uniqueId val="{00000007-D67D-4473-964D-C7D22E315518}"/>
              </c:ext>
            </c:extLst>
          </c:dPt>
          <c:xVal>
            <c:numRef>
              <c:f>【付録】エッシャー化!$B$10:$B$34</c:f>
              <c:numCache>
                <c:formatCode>General</c:formatCode>
                <c:ptCount val="25"/>
                <c:pt idx="0">
                  <c:v>0.5</c:v>
                </c:pt>
                <c:pt idx="1">
                  <c:v>0.66554239651505986</c:v>
                </c:pt>
                <c:pt idx="2">
                  <c:v>0.86658731220033525</c:v>
                </c:pt>
                <c:pt idx="3">
                  <c:v>0.94183441909711429</c:v>
                </c:pt>
                <c:pt idx="4">
                  <c:v>0.43938518364062362</c:v>
                </c:pt>
                <c:pt idx="5">
                  <c:v>0.5</c:v>
                </c:pt>
                <c:pt idx="6">
                  <c:v>0.3</c:v>
                </c:pt>
                <c:pt idx="7">
                  <c:v>9.9999999999999978E-2</c:v>
                </c:pt>
                <c:pt idx="8">
                  <c:v>-0.10000000000000003</c:v>
                </c:pt>
                <c:pt idx="9">
                  <c:v>-0.30000000000000004</c:v>
                </c:pt>
                <c:pt idx="10">
                  <c:v>-0.5</c:v>
                </c:pt>
                <c:pt idx="11">
                  <c:v>-3.1269069422049878E-2</c:v>
                </c:pt>
                <c:pt idx="12">
                  <c:v>-0.72220421081952102</c:v>
                </c:pt>
                <c:pt idx="13">
                  <c:v>-0.72125821832918047</c:v>
                </c:pt>
                <c:pt idx="14">
                  <c:v>-0.2350386629085951</c:v>
                </c:pt>
                <c:pt idx="15">
                  <c:v>-0.5</c:v>
                </c:pt>
                <c:pt idx="16">
                  <c:v>-0.3</c:v>
                </c:pt>
                <c:pt idx="17">
                  <c:v>-9.9999999999999978E-2</c:v>
                </c:pt>
                <c:pt idx="18">
                  <c:v>0.10000000000000003</c:v>
                </c:pt>
                <c:pt idx="19">
                  <c:v>0.30000000000000004</c:v>
                </c:pt>
                <c:pt idx="20">
                  <c:v>0.5</c:v>
                </c:pt>
                <c:pt idx="21">
                  <c:v>1</c:v>
                </c:pt>
                <c:pt idx="22">
                  <c:v>1</c:v>
                </c:pt>
                <c:pt idx="23">
                  <c:v>-1</c:v>
                </c:pt>
                <c:pt idx="24">
                  <c:v>-1</c:v>
                </c:pt>
              </c:numCache>
            </c:numRef>
          </c:xVal>
          <c:yVal>
            <c:numRef>
              <c:f>【付録】エッシャー化!$C$10:$C$34</c:f>
              <c:numCache>
                <c:formatCode>General</c:formatCode>
                <c:ptCount val="25"/>
                <c:pt idx="0">
                  <c:v>-0.5</c:v>
                </c:pt>
                <c:pt idx="1">
                  <c:v>-0.3</c:v>
                </c:pt>
                <c:pt idx="2">
                  <c:v>-9.9999999999999978E-2</c:v>
                </c:pt>
                <c:pt idx="3">
                  <c:v>0.10000000000000003</c:v>
                </c:pt>
                <c:pt idx="4">
                  <c:v>0.30000000000000004</c:v>
                </c:pt>
                <c:pt idx="5">
                  <c:v>0.5</c:v>
                </c:pt>
                <c:pt idx="6">
                  <c:v>0.33445760348494014</c:v>
                </c:pt>
                <c:pt idx="7">
                  <c:v>0.13341268779966475</c:v>
                </c:pt>
                <c:pt idx="8">
                  <c:v>5.8165580902885705E-2</c:v>
                </c:pt>
                <c:pt idx="9">
                  <c:v>0.56061481635937638</c:v>
                </c:pt>
                <c:pt idx="10">
                  <c:v>0.5</c:v>
                </c:pt>
                <c:pt idx="11">
                  <c:v>0.3</c:v>
                </c:pt>
                <c:pt idx="12">
                  <c:v>9.9999999999999978E-2</c:v>
                </c:pt>
                <c:pt idx="13">
                  <c:v>-0.10000000000000003</c:v>
                </c:pt>
                <c:pt idx="14">
                  <c:v>-0.30000000000000004</c:v>
                </c:pt>
                <c:pt idx="15">
                  <c:v>-0.5</c:v>
                </c:pt>
                <c:pt idx="16">
                  <c:v>-0.96873093057795012</c:v>
                </c:pt>
                <c:pt idx="17">
                  <c:v>-0.27779578918047898</c:v>
                </c:pt>
                <c:pt idx="18">
                  <c:v>-0.27874178167081953</c:v>
                </c:pt>
                <c:pt idx="19">
                  <c:v>-0.7649613370914049</c:v>
                </c:pt>
                <c:pt idx="20">
                  <c:v>-0.5</c:v>
                </c:pt>
                <c:pt idx="21">
                  <c:v>-1</c:v>
                </c:pt>
                <c:pt idx="22">
                  <c:v>1</c:v>
                </c:pt>
                <c:pt idx="23">
                  <c:v>1</c:v>
                </c:pt>
                <c:pt idx="24">
                  <c:v>-1</c:v>
                </c:pt>
              </c:numCache>
            </c:numRef>
          </c:yVal>
          <c:smooth val="0"/>
          <c:extLst>
            <c:ext xmlns:c16="http://schemas.microsoft.com/office/drawing/2014/chart" uri="{C3380CC4-5D6E-409C-BE32-E72D297353CC}">
              <c16:uniqueId val="{00000008-D67D-4473-964D-C7D22E315518}"/>
            </c:ext>
          </c:extLst>
        </c:ser>
        <c:dLbls>
          <c:showLegendKey val="0"/>
          <c:showVal val="0"/>
          <c:showCatName val="0"/>
          <c:showSerName val="0"/>
          <c:showPercent val="0"/>
          <c:showBubbleSize val="0"/>
        </c:dLbls>
        <c:axId val="313414960"/>
        <c:axId val="264206960"/>
      </c:scatterChart>
      <c:valAx>
        <c:axId val="313414960"/>
        <c:scaling>
          <c:orientation val="minMax"/>
        </c:scaling>
        <c:delete val="1"/>
        <c:axPos val="b"/>
        <c:numFmt formatCode="General" sourceLinked="1"/>
        <c:majorTickMark val="none"/>
        <c:minorTickMark val="none"/>
        <c:tickLblPos val="nextTo"/>
        <c:crossAx val="264206960"/>
        <c:crosses val="autoZero"/>
        <c:crossBetween val="midCat"/>
      </c:valAx>
      <c:valAx>
        <c:axId val="264206960"/>
        <c:scaling>
          <c:orientation val="minMax"/>
        </c:scaling>
        <c:delete val="1"/>
        <c:axPos val="l"/>
        <c:numFmt formatCode="General" sourceLinked="1"/>
        <c:majorTickMark val="none"/>
        <c:minorTickMark val="none"/>
        <c:tickLblPos val="nextTo"/>
        <c:crossAx val="31341496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【付録】エッシャー化!$F$9</c:f>
              <c:strCache>
                <c:ptCount val="1"/>
                <c:pt idx="0">
                  <c:v>y</c:v>
                </c:pt>
              </c:strCache>
            </c:strRef>
          </c:tx>
          <c:spPr>
            <a:ln w="19050" cap="rnd">
              <a:solidFill>
                <a:schemeClr val="tx1"/>
              </a:solidFill>
              <a:round/>
            </a:ln>
            <a:effectLst/>
          </c:spPr>
          <c:marker>
            <c:symbol val="none"/>
          </c:marker>
          <c:dPt>
            <c:idx val="21"/>
            <c:marker>
              <c:symbol val="none"/>
            </c:marker>
            <c:bubble3D val="0"/>
            <c:spPr>
              <a:ln w="19050" cap="rnd">
                <a:noFill/>
                <a:round/>
              </a:ln>
              <a:effectLst/>
            </c:spPr>
            <c:extLst>
              <c:ext xmlns:c16="http://schemas.microsoft.com/office/drawing/2014/chart" uri="{C3380CC4-5D6E-409C-BE32-E72D297353CC}">
                <c16:uniqueId val="{00000002-8F09-496B-B7F6-DDC43ABB5E9F}"/>
              </c:ext>
            </c:extLst>
          </c:dPt>
          <c:dPt>
            <c:idx val="22"/>
            <c:marker>
              <c:symbol val="none"/>
            </c:marker>
            <c:bubble3D val="0"/>
            <c:spPr>
              <a:ln w="19050" cap="rnd">
                <a:noFill/>
                <a:round/>
              </a:ln>
              <a:effectLst/>
            </c:spPr>
            <c:extLst>
              <c:ext xmlns:c16="http://schemas.microsoft.com/office/drawing/2014/chart" uri="{C3380CC4-5D6E-409C-BE32-E72D297353CC}">
                <c16:uniqueId val="{00000003-8F09-496B-B7F6-DDC43ABB5E9F}"/>
              </c:ext>
            </c:extLst>
          </c:dPt>
          <c:dPt>
            <c:idx val="23"/>
            <c:marker>
              <c:symbol val="none"/>
            </c:marker>
            <c:bubble3D val="0"/>
            <c:spPr>
              <a:ln w="19050" cap="rnd">
                <a:noFill/>
                <a:round/>
              </a:ln>
              <a:effectLst/>
            </c:spPr>
            <c:extLst>
              <c:ext xmlns:c16="http://schemas.microsoft.com/office/drawing/2014/chart" uri="{C3380CC4-5D6E-409C-BE32-E72D297353CC}">
                <c16:uniqueId val="{00000004-8F09-496B-B7F6-DDC43ABB5E9F}"/>
              </c:ext>
            </c:extLst>
          </c:dPt>
          <c:dPt>
            <c:idx val="24"/>
            <c:marker>
              <c:symbol val="none"/>
            </c:marker>
            <c:bubble3D val="0"/>
            <c:spPr>
              <a:ln w="19050" cap="rnd">
                <a:noFill/>
                <a:round/>
              </a:ln>
              <a:effectLst/>
            </c:spPr>
            <c:extLst>
              <c:ext xmlns:c16="http://schemas.microsoft.com/office/drawing/2014/chart" uri="{C3380CC4-5D6E-409C-BE32-E72D297353CC}">
                <c16:uniqueId val="{00000005-8F09-496B-B7F6-DDC43ABB5E9F}"/>
              </c:ext>
            </c:extLst>
          </c:dPt>
          <c:xVal>
            <c:numRef>
              <c:f>【付録】エッシャー化!$E$10:$E$34</c:f>
              <c:numCache>
                <c:formatCode>General</c:formatCode>
                <c:ptCount val="25"/>
                <c:pt idx="0">
                  <c:v>0.5</c:v>
                </c:pt>
                <c:pt idx="1">
                  <c:v>0.3</c:v>
                </c:pt>
                <c:pt idx="2">
                  <c:v>9.9999999999999978E-2</c:v>
                </c:pt>
                <c:pt idx="3">
                  <c:v>-0.10000000000000003</c:v>
                </c:pt>
                <c:pt idx="4">
                  <c:v>-0.30000000000000004</c:v>
                </c:pt>
                <c:pt idx="5">
                  <c:v>-0.5</c:v>
                </c:pt>
                <c:pt idx="6">
                  <c:v>-0.33445760348494014</c:v>
                </c:pt>
                <c:pt idx="7">
                  <c:v>-0.13341268779966475</c:v>
                </c:pt>
                <c:pt idx="8">
                  <c:v>-5.8165580902885705E-2</c:v>
                </c:pt>
                <c:pt idx="9">
                  <c:v>-0.56061481635937638</c:v>
                </c:pt>
                <c:pt idx="10">
                  <c:v>-0.5</c:v>
                </c:pt>
                <c:pt idx="11">
                  <c:v>-0.3</c:v>
                </c:pt>
                <c:pt idx="12">
                  <c:v>-9.9999999999999978E-2</c:v>
                </c:pt>
                <c:pt idx="13">
                  <c:v>0.10000000000000003</c:v>
                </c:pt>
                <c:pt idx="14">
                  <c:v>0.30000000000000004</c:v>
                </c:pt>
                <c:pt idx="15">
                  <c:v>0.5</c:v>
                </c:pt>
                <c:pt idx="16">
                  <c:v>0.96873093057795012</c:v>
                </c:pt>
                <c:pt idx="17">
                  <c:v>0.27779578918047898</c:v>
                </c:pt>
                <c:pt idx="18">
                  <c:v>0.27874178167081953</c:v>
                </c:pt>
                <c:pt idx="19">
                  <c:v>0.7649613370914049</c:v>
                </c:pt>
                <c:pt idx="20">
                  <c:v>0.5</c:v>
                </c:pt>
                <c:pt idx="21">
                  <c:v>1</c:v>
                </c:pt>
                <c:pt idx="22">
                  <c:v>-1</c:v>
                </c:pt>
                <c:pt idx="23">
                  <c:v>-1</c:v>
                </c:pt>
                <c:pt idx="24">
                  <c:v>1</c:v>
                </c:pt>
              </c:numCache>
            </c:numRef>
          </c:xVal>
          <c:yVal>
            <c:numRef>
              <c:f>【付録】エッシャー化!$F$10:$F$34</c:f>
              <c:numCache>
                <c:formatCode>General</c:formatCode>
                <c:ptCount val="25"/>
                <c:pt idx="0">
                  <c:v>-0.5</c:v>
                </c:pt>
                <c:pt idx="1">
                  <c:v>-0.66554239651505986</c:v>
                </c:pt>
                <c:pt idx="2">
                  <c:v>-0.86658731220033525</c:v>
                </c:pt>
                <c:pt idx="3">
                  <c:v>-0.94183441909711429</c:v>
                </c:pt>
                <c:pt idx="4">
                  <c:v>-0.43938518364062362</c:v>
                </c:pt>
                <c:pt idx="5">
                  <c:v>-0.5</c:v>
                </c:pt>
                <c:pt idx="6">
                  <c:v>-0.3</c:v>
                </c:pt>
                <c:pt idx="7">
                  <c:v>-9.9999999999999978E-2</c:v>
                </c:pt>
                <c:pt idx="8">
                  <c:v>0.10000000000000003</c:v>
                </c:pt>
                <c:pt idx="9">
                  <c:v>0.30000000000000004</c:v>
                </c:pt>
                <c:pt idx="10">
                  <c:v>0.5</c:v>
                </c:pt>
                <c:pt idx="11">
                  <c:v>3.1269069422049878E-2</c:v>
                </c:pt>
                <c:pt idx="12">
                  <c:v>0.72220421081952102</c:v>
                </c:pt>
                <c:pt idx="13">
                  <c:v>0.72125821832918047</c:v>
                </c:pt>
                <c:pt idx="14">
                  <c:v>0.2350386629085951</c:v>
                </c:pt>
                <c:pt idx="15">
                  <c:v>0.5</c:v>
                </c:pt>
                <c:pt idx="16">
                  <c:v>0.3</c:v>
                </c:pt>
                <c:pt idx="17">
                  <c:v>9.9999999999999978E-2</c:v>
                </c:pt>
                <c:pt idx="18">
                  <c:v>-0.10000000000000003</c:v>
                </c:pt>
                <c:pt idx="19">
                  <c:v>-0.30000000000000004</c:v>
                </c:pt>
                <c:pt idx="20">
                  <c:v>-0.5</c:v>
                </c:pt>
                <c:pt idx="21">
                  <c:v>-1</c:v>
                </c:pt>
                <c:pt idx="22">
                  <c:v>-1</c:v>
                </c:pt>
                <c:pt idx="23">
                  <c:v>1</c:v>
                </c:pt>
                <c:pt idx="24">
                  <c:v>1</c:v>
                </c:pt>
              </c:numCache>
            </c:numRef>
          </c:yVal>
          <c:smooth val="0"/>
          <c:extLst>
            <c:ext xmlns:c16="http://schemas.microsoft.com/office/drawing/2014/chart" uri="{C3380CC4-5D6E-409C-BE32-E72D297353CC}">
              <c16:uniqueId val="{00000000-8F09-496B-B7F6-DDC43ABB5E9F}"/>
            </c:ext>
          </c:extLst>
        </c:ser>
        <c:dLbls>
          <c:showLegendKey val="0"/>
          <c:showVal val="0"/>
          <c:showCatName val="0"/>
          <c:showSerName val="0"/>
          <c:showPercent val="0"/>
          <c:showBubbleSize val="0"/>
        </c:dLbls>
        <c:axId val="530900928"/>
        <c:axId val="530906504"/>
      </c:scatterChart>
      <c:valAx>
        <c:axId val="530900928"/>
        <c:scaling>
          <c:orientation val="minMax"/>
        </c:scaling>
        <c:delete val="1"/>
        <c:axPos val="b"/>
        <c:numFmt formatCode="General" sourceLinked="1"/>
        <c:majorTickMark val="none"/>
        <c:minorTickMark val="none"/>
        <c:tickLblPos val="nextTo"/>
        <c:crossAx val="530906504"/>
        <c:crosses val="autoZero"/>
        <c:crossBetween val="midCat"/>
      </c:valAx>
      <c:valAx>
        <c:axId val="530906504"/>
        <c:scaling>
          <c:orientation val="minMax"/>
        </c:scaling>
        <c:delete val="1"/>
        <c:axPos val="l"/>
        <c:numFmt formatCode="General" sourceLinked="1"/>
        <c:majorTickMark val="none"/>
        <c:minorTickMark val="none"/>
        <c:tickLblPos val="nextTo"/>
        <c:crossAx val="53090092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【付録】エッシャー化!$C$9</c:f>
              <c:strCache>
                <c:ptCount val="1"/>
                <c:pt idx="0">
                  <c:v>y</c:v>
                </c:pt>
              </c:strCache>
            </c:strRef>
          </c:tx>
          <c:spPr>
            <a:ln w="19050" cap="rnd">
              <a:solidFill>
                <a:schemeClr val="tx1"/>
              </a:solidFill>
              <a:round/>
            </a:ln>
            <a:effectLst/>
          </c:spPr>
          <c:marker>
            <c:symbol val="none"/>
          </c:marker>
          <c:dPt>
            <c:idx val="21"/>
            <c:marker>
              <c:symbol val="none"/>
            </c:marker>
            <c:bubble3D val="0"/>
            <c:spPr>
              <a:ln w="19050" cap="rnd">
                <a:noFill/>
                <a:round/>
              </a:ln>
              <a:effectLst/>
            </c:spPr>
            <c:extLst>
              <c:ext xmlns:c16="http://schemas.microsoft.com/office/drawing/2014/chart" uri="{C3380CC4-5D6E-409C-BE32-E72D297353CC}">
                <c16:uniqueId val="{00000001-E577-4979-830F-44FF92B606CA}"/>
              </c:ext>
            </c:extLst>
          </c:dPt>
          <c:dPt>
            <c:idx val="22"/>
            <c:marker>
              <c:symbol val="none"/>
            </c:marker>
            <c:bubble3D val="0"/>
            <c:spPr>
              <a:ln w="19050" cap="rnd">
                <a:noFill/>
                <a:round/>
              </a:ln>
              <a:effectLst/>
            </c:spPr>
            <c:extLst>
              <c:ext xmlns:c16="http://schemas.microsoft.com/office/drawing/2014/chart" uri="{C3380CC4-5D6E-409C-BE32-E72D297353CC}">
                <c16:uniqueId val="{00000003-E577-4979-830F-44FF92B606CA}"/>
              </c:ext>
            </c:extLst>
          </c:dPt>
          <c:dPt>
            <c:idx val="23"/>
            <c:marker>
              <c:symbol val="none"/>
            </c:marker>
            <c:bubble3D val="0"/>
            <c:spPr>
              <a:ln w="19050" cap="rnd">
                <a:noFill/>
                <a:round/>
              </a:ln>
              <a:effectLst/>
            </c:spPr>
            <c:extLst>
              <c:ext xmlns:c16="http://schemas.microsoft.com/office/drawing/2014/chart" uri="{C3380CC4-5D6E-409C-BE32-E72D297353CC}">
                <c16:uniqueId val="{00000005-E577-4979-830F-44FF92B606CA}"/>
              </c:ext>
            </c:extLst>
          </c:dPt>
          <c:dPt>
            <c:idx val="24"/>
            <c:marker>
              <c:symbol val="none"/>
            </c:marker>
            <c:bubble3D val="0"/>
            <c:spPr>
              <a:ln w="19050" cap="rnd">
                <a:noFill/>
                <a:round/>
              </a:ln>
              <a:effectLst/>
            </c:spPr>
            <c:extLst>
              <c:ext xmlns:c16="http://schemas.microsoft.com/office/drawing/2014/chart" uri="{C3380CC4-5D6E-409C-BE32-E72D297353CC}">
                <c16:uniqueId val="{00000007-E577-4979-830F-44FF92B606CA}"/>
              </c:ext>
            </c:extLst>
          </c:dPt>
          <c:xVal>
            <c:numRef>
              <c:f>【付録】エッシャー化!$B$10:$B$34</c:f>
              <c:numCache>
                <c:formatCode>General</c:formatCode>
                <c:ptCount val="25"/>
                <c:pt idx="0">
                  <c:v>0.5</c:v>
                </c:pt>
                <c:pt idx="1">
                  <c:v>0.66554239651505986</c:v>
                </c:pt>
                <c:pt idx="2">
                  <c:v>0.86658731220033525</c:v>
                </c:pt>
                <c:pt idx="3">
                  <c:v>0.94183441909711429</c:v>
                </c:pt>
                <c:pt idx="4">
                  <c:v>0.43938518364062362</c:v>
                </c:pt>
                <c:pt idx="5">
                  <c:v>0.5</c:v>
                </c:pt>
                <c:pt idx="6">
                  <c:v>0.3</c:v>
                </c:pt>
                <c:pt idx="7">
                  <c:v>9.9999999999999978E-2</c:v>
                </c:pt>
                <c:pt idx="8">
                  <c:v>-0.10000000000000003</c:v>
                </c:pt>
                <c:pt idx="9">
                  <c:v>-0.30000000000000004</c:v>
                </c:pt>
                <c:pt idx="10">
                  <c:v>-0.5</c:v>
                </c:pt>
                <c:pt idx="11">
                  <c:v>-3.1269069422049878E-2</c:v>
                </c:pt>
                <c:pt idx="12">
                  <c:v>-0.72220421081952102</c:v>
                </c:pt>
                <c:pt idx="13">
                  <c:v>-0.72125821832918047</c:v>
                </c:pt>
                <c:pt idx="14">
                  <c:v>-0.2350386629085951</c:v>
                </c:pt>
                <c:pt idx="15">
                  <c:v>-0.5</c:v>
                </c:pt>
                <c:pt idx="16">
                  <c:v>-0.3</c:v>
                </c:pt>
                <c:pt idx="17">
                  <c:v>-9.9999999999999978E-2</c:v>
                </c:pt>
                <c:pt idx="18">
                  <c:v>0.10000000000000003</c:v>
                </c:pt>
                <c:pt idx="19">
                  <c:v>0.30000000000000004</c:v>
                </c:pt>
                <c:pt idx="20">
                  <c:v>0.5</c:v>
                </c:pt>
                <c:pt idx="21">
                  <c:v>1</c:v>
                </c:pt>
                <c:pt idx="22">
                  <c:v>1</c:v>
                </c:pt>
                <c:pt idx="23">
                  <c:v>-1</c:v>
                </c:pt>
                <c:pt idx="24">
                  <c:v>-1</c:v>
                </c:pt>
              </c:numCache>
            </c:numRef>
          </c:xVal>
          <c:yVal>
            <c:numRef>
              <c:f>【付録】エッシャー化!$C$10:$C$34</c:f>
              <c:numCache>
                <c:formatCode>General</c:formatCode>
                <c:ptCount val="25"/>
                <c:pt idx="0">
                  <c:v>-0.5</c:v>
                </c:pt>
                <c:pt idx="1">
                  <c:v>-0.3</c:v>
                </c:pt>
                <c:pt idx="2">
                  <c:v>-9.9999999999999978E-2</c:v>
                </c:pt>
                <c:pt idx="3">
                  <c:v>0.10000000000000003</c:v>
                </c:pt>
                <c:pt idx="4">
                  <c:v>0.30000000000000004</c:v>
                </c:pt>
                <c:pt idx="5">
                  <c:v>0.5</c:v>
                </c:pt>
                <c:pt idx="6">
                  <c:v>0.33445760348494014</c:v>
                </c:pt>
                <c:pt idx="7">
                  <c:v>0.13341268779966475</c:v>
                </c:pt>
                <c:pt idx="8">
                  <c:v>5.8165580902885705E-2</c:v>
                </c:pt>
                <c:pt idx="9">
                  <c:v>0.56061481635937638</c:v>
                </c:pt>
                <c:pt idx="10">
                  <c:v>0.5</c:v>
                </c:pt>
                <c:pt idx="11">
                  <c:v>0.3</c:v>
                </c:pt>
                <c:pt idx="12">
                  <c:v>9.9999999999999978E-2</c:v>
                </c:pt>
                <c:pt idx="13">
                  <c:v>-0.10000000000000003</c:v>
                </c:pt>
                <c:pt idx="14">
                  <c:v>-0.30000000000000004</c:v>
                </c:pt>
                <c:pt idx="15">
                  <c:v>-0.5</c:v>
                </c:pt>
                <c:pt idx="16">
                  <c:v>-0.96873093057795012</c:v>
                </c:pt>
                <c:pt idx="17">
                  <c:v>-0.27779578918047898</c:v>
                </c:pt>
                <c:pt idx="18">
                  <c:v>-0.27874178167081953</c:v>
                </c:pt>
                <c:pt idx="19">
                  <c:v>-0.7649613370914049</c:v>
                </c:pt>
                <c:pt idx="20">
                  <c:v>-0.5</c:v>
                </c:pt>
                <c:pt idx="21">
                  <c:v>-1</c:v>
                </c:pt>
                <c:pt idx="22">
                  <c:v>1</c:v>
                </c:pt>
                <c:pt idx="23">
                  <c:v>1</c:v>
                </c:pt>
                <c:pt idx="24">
                  <c:v>-1</c:v>
                </c:pt>
              </c:numCache>
            </c:numRef>
          </c:yVal>
          <c:smooth val="0"/>
          <c:extLst>
            <c:ext xmlns:c16="http://schemas.microsoft.com/office/drawing/2014/chart" uri="{C3380CC4-5D6E-409C-BE32-E72D297353CC}">
              <c16:uniqueId val="{00000008-E577-4979-830F-44FF92B606CA}"/>
            </c:ext>
          </c:extLst>
        </c:ser>
        <c:dLbls>
          <c:showLegendKey val="0"/>
          <c:showVal val="0"/>
          <c:showCatName val="0"/>
          <c:showSerName val="0"/>
          <c:showPercent val="0"/>
          <c:showBubbleSize val="0"/>
        </c:dLbls>
        <c:axId val="313414960"/>
        <c:axId val="264206960"/>
      </c:scatterChart>
      <c:valAx>
        <c:axId val="313414960"/>
        <c:scaling>
          <c:orientation val="minMax"/>
        </c:scaling>
        <c:delete val="1"/>
        <c:axPos val="b"/>
        <c:numFmt formatCode="General" sourceLinked="1"/>
        <c:majorTickMark val="none"/>
        <c:minorTickMark val="none"/>
        <c:tickLblPos val="nextTo"/>
        <c:crossAx val="264206960"/>
        <c:crosses val="autoZero"/>
        <c:crossBetween val="midCat"/>
      </c:valAx>
      <c:valAx>
        <c:axId val="264206960"/>
        <c:scaling>
          <c:orientation val="minMax"/>
        </c:scaling>
        <c:delete val="1"/>
        <c:axPos val="l"/>
        <c:numFmt formatCode="General" sourceLinked="1"/>
        <c:majorTickMark val="none"/>
        <c:minorTickMark val="none"/>
        <c:tickLblPos val="nextTo"/>
        <c:crossAx val="31341496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【付録】エッシャー化!$F$9</c:f>
              <c:strCache>
                <c:ptCount val="1"/>
                <c:pt idx="0">
                  <c:v>y</c:v>
                </c:pt>
              </c:strCache>
            </c:strRef>
          </c:tx>
          <c:spPr>
            <a:ln w="19050" cap="rnd">
              <a:solidFill>
                <a:schemeClr val="tx1"/>
              </a:solidFill>
              <a:round/>
            </a:ln>
            <a:effectLst/>
          </c:spPr>
          <c:marker>
            <c:symbol val="none"/>
          </c:marker>
          <c:dPt>
            <c:idx val="21"/>
            <c:marker>
              <c:symbol val="none"/>
            </c:marker>
            <c:bubble3D val="0"/>
            <c:spPr>
              <a:ln w="19050" cap="rnd">
                <a:noFill/>
                <a:round/>
              </a:ln>
              <a:effectLst/>
            </c:spPr>
            <c:extLst>
              <c:ext xmlns:c16="http://schemas.microsoft.com/office/drawing/2014/chart" uri="{C3380CC4-5D6E-409C-BE32-E72D297353CC}">
                <c16:uniqueId val="{00000001-FE1A-4F26-8D7D-611F35A3A00B}"/>
              </c:ext>
            </c:extLst>
          </c:dPt>
          <c:dPt>
            <c:idx val="22"/>
            <c:marker>
              <c:symbol val="none"/>
            </c:marker>
            <c:bubble3D val="0"/>
            <c:spPr>
              <a:ln w="19050" cap="rnd">
                <a:noFill/>
                <a:round/>
              </a:ln>
              <a:effectLst/>
            </c:spPr>
            <c:extLst>
              <c:ext xmlns:c16="http://schemas.microsoft.com/office/drawing/2014/chart" uri="{C3380CC4-5D6E-409C-BE32-E72D297353CC}">
                <c16:uniqueId val="{00000003-FE1A-4F26-8D7D-611F35A3A00B}"/>
              </c:ext>
            </c:extLst>
          </c:dPt>
          <c:dPt>
            <c:idx val="23"/>
            <c:marker>
              <c:symbol val="none"/>
            </c:marker>
            <c:bubble3D val="0"/>
            <c:spPr>
              <a:ln w="19050" cap="rnd">
                <a:noFill/>
                <a:round/>
              </a:ln>
              <a:effectLst/>
            </c:spPr>
            <c:extLst>
              <c:ext xmlns:c16="http://schemas.microsoft.com/office/drawing/2014/chart" uri="{C3380CC4-5D6E-409C-BE32-E72D297353CC}">
                <c16:uniqueId val="{00000005-FE1A-4F26-8D7D-611F35A3A00B}"/>
              </c:ext>
            </c:extLst>
          </c:dPt>
          <c:dPt>
            <c:idx val="24"/>
            <c:marker>
              <c:symbol val="none"/>
            </c:marker>
            <c:bubble3D val="0"/>
            <c:spPr>
              <a:ln w="19050" cap="rnd">
                <a:noFill/>
                <a:round/>
              </a:ln>
              <a:effectLst/>
            </c:spPr>
            <c:extLst>
              <c:ext xmlns:c16="http://schemas.microsoft.com/office/drawing/2014/chart" uri="{C3380CC4-5D6E-409C-BE32-E72D297353CC}">
                <c16:uniqueId val="{00000007-FE1A-4F26-8D7D-611F35A3A00B}"/>
              </c:ext>
            </c:extLst>
          </c:dPt>
          <c:xVal>
            <c:numRef>
              <c:f>【付録】エッシャー化!$E$10:$E$34</c:f>
              <c:numCache>
                <c:formatCode>General</c:formatCode>
                <c:ptCount val="25"/>
                <c:pt idx="0">
                  <c:v>0.5</c:v>
                </c:pt>
                <c:pt idx="1">
                  <c:v>0.3</c:v>
                </c:pt>
                <c:pt idx="2">
                  <c:v>9.9999999999999978E-2</c:v>
                </c:pt>
                <c:pt idx="3">
                  <c:v>-0.10000000000000003</c:v>
                </c:pt>
                <c:pt idx="4">
                  <c:v>-0.30000000000000004</c:v>
                </c:pt>
                <c:pt idx="5">
                  <c:v>-0.5</c:v>
                </c:pt>
                <c:pt idx="6">
                  <c:v>-0.33445760348494014</c:v>
                </c:pt>
                <c:pt idx="7">
                  <c:v>-0.13341268779966475</c:v>
                </c:pt>
                <c:pt idx="8">
                  <c:v>-5.8165580902885705E-2</c:v>
                </c:pt>
                <c:pt idx="9">
                  <c:v>-0.56061481635937638</c:v>
                </c:pt>
                <c:pt idx="10">
                  <c:v>-0.5</c:v>
                </c:pt>
                <c:pt idx="11">
                  <c:v>-0.3</c:v>
                </c:pt>
                <c:pt idx="12">
                  <c:v>-9.9999999999999978E-2</c:v>
                </c:pt>
                <c:pt idx="13">
                  <c:v>0.10000000000000003</c:v>
                </c:pt>
                <c:pt idx="14">
                  <c:v>0.30000000000000004</c:v>
                </c:pt>
                <c:pt idx="15">
                  <c:v>0.5</c:v>
                </c:pt>
                <c:pt idx="16">
                  <c:v>0.96873093057795012</c:v>
                </c:pt>
                <c:pt idx="17">
                  <c:v>0.27779578918047898</c:v>
                </c:pt>
                <c:pt idx="18">
                  <c:v>0.27874178167081953</c:v>
                </c:pt>
                <c:pt idx="19">
                  <c:v>0.7649613370914049</c:v>
                </c:pt>
                <c:pt idx="20">
                  <c:v>0.5</c:v>
                </c:pt>
                <c:pt idx="21">
                  <c:v>1</c:v>
                </c:pt>
                <c:pt idx="22">
                  <c:v>-1</c:v>
                </c:pt>
                <c:pt idx="23">
                  <c:v>-1</c:v>
                </c:pt>
                <c:pt idx="24">
                  <c:v>1</c:v>
                </c:pt>
              </c:numCache>
            </c:numRef>
          </c:xVal>
          <c:yVal>
            <c:numRef>
              <c:f>【付録】エッシャー化!$F$10:$F$34</c:f>
              <c:numCache>
                <c:formatCode>General</c:formatCode>
                <c:ptCount val="25"/>
                <c:pt idx="0">
                  <c:v>-0.5</c:v>
                </c:pt>
                <c:pt idx="1">
                  <c:v>-0.66554239651505986</c:v>
                </c:pt>
                <c:pt idx="2">
                  <c:v>-0.86658731220033525</c:v>
                </c:pt>
                <c:pt idx="3">
                  <c:v>-0.94183441909711429</c:v>
                </c:pt>
                <c:pt idx="4">
                  <c:v>-0.43938518364062362</c:v>
                </c:pt>
                <c:pt idx="5">
                  <c:v>-0.5</c:v>
                </c:pt>
                <c:pt idx="6">
                  <c:v>-0.3</c:v>
                </c:pt>
                <c:pt idx="7">
                  <c:v>-9.9999999999999978E-2</c:v>
                </c:pt>
                <c:pt idx="8">
                  <c:v>0.10000000000000003</c:v>
                </c:pt>
                <c:pt idx="9">
                  <c:v>0.30000000000000004</c:v>
                </c:pt>
                <c:pt idx="10">
                  <c:v>0.5</c:v>
                </c:pt>
                <c:pt idx="11">
                  <c:v>3.1269069422049878E-2</c:v>
                </c:pt>
                <c:pt idx="12">
                  <c:v>0.72220421081952102</c:v>
                </c:pt>
                <c:pt idx="13">
                  <c:v>0.72125821832918047</c:v>
                </c:pt>
                <c:pt idx="14">
                  <c:v>0.2350386629085951</c:v>
                </c:pt>
                <c:pt idx="15">
                  <c:v>0.5</c:v>
                </c:pt>
                <c:pt idx="16">
                  <c:v>0.3</c:v>
                </c:pt>
                <c:pt idx="17">
                  <c:v>9.9999999999999978E-2</c:v>
                </c:pt>
                <c:pt idx="18">
                  <c:v>-0.10000000000000003</c:v>
                </c:pt>
                <c:pt idx="19">
                  <c:v>-0.30000000000000004</c:v>
                </c:pt>
                <c:pt idx="20">
                  <c:v>-0.5</c:v>
                </c:pt>
                <c:pt idx="21">
                  <c:v>-1</c:v>
                </c:pt>
                <c:pt idx="22">
                  <c:v>-1</c:v>
                </c:pt>
                <c:pt idx="23">
                  <c:v>1</c:v>
                </c:pt>
                <c:pt idx="24">
                  <c:v>1</c:v>
                </c:pt>
              </c:numCache>
            </c:numRef>
          </c:yVal>
          <c:smooth val="0"/>
          <c:extLst>
            <c:ext xmlns:c16="http://schemas.microsoft.com/office/drawing/2014/chart" uri="{C3380CC4-5D6E-409C-BE32-E72D297353CC}">
              <c16:uniqueId val="{00000008-FE1A-4F26-8D7D-611F35A3A00B}"/>
            </c:ext>
          </c:extLst>
        </c:ser>
        <c:dLbls>
          <c:showLegendKey val="0"/>
          <c:showVal val="0"/>
          <c:showCatName val="0"/>
          <c:showSerName val="0"/>
          <c:showPercent val="0"/>
          <c:showBubbleSize val="0"/>
        </c:dLbls>
        <c:axId val="530900928"/>
        <c:axId val="530906504"/>
      </c:scatterChart>
      <c:valAx>
        <c:axId val="530900928"/>
        <c:scaling>
          <c:orientation val="minMax"/>
        </c:scaling>
        <c:delete val="1"/>
        <c:axPos val="b"/>
        <c:numFmt formatCode="General" sourceLinked="1"/>
        <c:majorTickMark val="none"/>
        <c:minorTickMark val="none"/>
        <c:tickLblPos val="nextTo"/>
        <c:crossAx val="530906504"/>
        <c:crosses val="autoZero"/>
        <c:crossBetween val="midCat"/>
      </c:valAx>
      <c:valAx>
        <c:axId val="530906504"/>
        <c:scaling>
          <c:orientation val="minMax"/>
        </c:scaling>
        <c:delete val="1"/>
        <c:axPos val="l"/>
        <c:numFmt formatCode="General" sourceLinked="1"/>
        <c:majorTickMark val="none"/>
        <c:minorTickMark val="none"/>
        <c:tickLblPos val="nextTo"/>
        <c:crossAx val="53090092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【付録】エッシャー化!$F$9</c:f>
              <c:strCache>
                <c:ptCount val="1"/>
                <c:pt idx="0">
                  <c:v>y</c:v>
                </c:pt>
              </c:strCache>
            </c:strRef>
          </c:tx>
          <c:spPr>
            <a:ln w="19050" cap="rnd">
              <a:solidFill>
                <a:schemeClr val="tx1"/>
              </a:solidFill>
              <a:round/>
            </a:ln>
            <a:effectLst/>
          </c:spPr>
          <c:marker>
            <c:symbol val="none"/>
          </c:marker>
          <c:dPt>
            <c:idx val="21"/>
            <c:marker>
              <c:symbol val="none"/>
            </c:marker>
            <c:bubble3D val="0"/>
            <c:spPr>
              <a:ln w="19050" cap="rnd">
                <a:noFill/>
                <a:round/>
              </a:ln>
              <a:effectLst/>
            </c:spPr>
            <c:extLst>
              <c:ext xmlns:c16="http://schemas.microsoft.com/office/drawing/2014/chart" uri="{C3380CC4-5D6E-409C-BE32-E72D297353CC}">
                <c16:uniqueId val="{00000001-647F-4E8D-89CB-D9A735F0B5CE}"/>
              </c:ext>
            </c:extLst>
          </c:dPt>
          <c:dPt>
            <c:idx val="22"/>
            <c:marker>
              <c:symbol val="none"/>
            </c:marker>
            <c:bubble3D val="0"/>
            <c:spPr>
              <a:ln w="19050" cap="rnd">
                <a:noFill/>
                <a:round/>
              </a:ln>
              <a:effectLst/>
            </c:spPr>
            <c:extLst>
              <c:ext xmlns:c16="http://schemas.microsoft.com/office/drawing/2014/chart" uri="{C3380CC4-5D6E-409C-BE32-E72D297353CC}">
                <c16:uniqueId val="{00000003-647F-4E8D-89CB-D9A735F0B5CE}"/>
              </c:ext>
            </c:extLst>
          </c:dPt>
          <c:dPt>
            <c:idx val="23"/>
            <c:marker>
              <c:symbol val="none"/>
            </c:marker>
            <c:bubble3D val="0"/>
            <c:spPr>
              <a:ln w="19050" cap="rnd">
                <a:noFill/>
                <a:round/>
              </a:ln>
              <a:effectLst/>
            </c:spPr>
            <c:extLst>
              <c:ext xmlns:c16="http://schemas.microsoft.com/office/drawing/2014/chart" uri="{C3380CC4-5D6E-409C-BE32-E72D297353CC}">
                <c16:uniqueId val="{00000005-647F-4E8D-89CB-D9A735F0B5CE}"/>
              </c:ext>
            </c:extLst>
          </c:dPt>
          <c:dPt>
            <c:idx val="24"/>
            <c:marker>
              <c:symbol val="none"/>
            </c:marker>
            <c:bubble3D val="0"/>
            <c:spPr>
              <a:ln w="19050" cap="rnd">
                <a:noFill/>
                <a:round/>
              </a:ln>
              <a:effectLst/>
            </c:spPr>
            <c:extLst>
              <c:ext xmlns:c16="http://schemas.microsoft.com/office/drawing/2014/chart" uri="{C3380CC4-5D6E-409C-BE32-E72D297353CC}">
                <c16:uniqueId val="{00000007-647F-4E8D-89CB-D9A735F0B5CE}"/>
              </c:ext>
            </c:extLst>
          </c:dPt>
          <c:xVal>
            <c:numRef>
              <c:f>【付録】エッシャー化!$E$10:$E$34</c:f>
              <c:numCache>
                <c:formatCode>General</c:formatCode>
                <c:ptCount val="25"/>
                <c:pt idx="0">
                  <c:v>0.5</c:v>
                </c:pt>
                <c:pt idx="1">
                  <c:v>0.3</c:v>
                </c:pt>
                <c:pt idx="2">
                  <c:v>9.9999999999999978E-2</c:v>
                </c:pt>
                <c:pt idx="3">
                  <c:v>-0.10000000000000003</c:v>
                </c:pt>
                <c:pt idx="4">
                  <c:v>-0.30000000000000004</c:v>
                </c:pt>
                <c:pt idx="5">
                  <c:v>-0.5</c:v>
                </c:pt>
                <c:pt idx="6">
                  <c:v>-0.33445760348494014</c:v>
                </c:pt>
                <c:pt idx="7">
                  <c:v>-0.13341268779966475</c:v>
                </c:pt>
                <c:pt idx="8">
                  <c:v>-5.8165580902885705E-2</c:v>
                </c:pt>
                <c:pt idx="9">
                  <c:v>-0.56061481635937638</c:v>
                </c:pt>
                <c:pt idx="10">
                  <c:v>-0.5</c:v>
                </c:pt>
                <c:pt idx="11">
                  <c:v>-0.3</c:v>
                </c:pt>
                <c:pt idx="12">
                  <c:v>-9.9999999999999978E-2</c:v>
                </c:pt>
                <c:pt idx="13">
                  <c:v>0.10000000000000003</c:v>
                </c:pt>
                <c:pt idx="14">
                  <c:v>0.30000000000000004</c:v>
                </c:pt>
                <c:pt idx="15">
                  <c:v>0.5</c:v>
                </c:pt>
                <c:pt idx="16">
                  <c:v>0.96873093057795012</c:v>
                </c:pt>
                <c:pt idx="17">
                  <c:v>0.27779578918047898</c:v>
                </c:pt>
                <c:pt idx="18">
                  <c:v>0.27874178167081953</c:v>
                </c:pt>
                <c:pt idx="19">
                  <c:v>0.7649613370914049</c:v>
                </c:pt>
                <c:pt idx="20">
                  <c:v>0.5</c:v>
                </c:pt>
                <c:pt idx="21">
                  <c:v>1</c:v>
                </c:pt>
                <c:pt idx="22">
                  <c:v>-1</c:v>
                </c:pt>
                <c:pt idx="23">
                  <c:v>-1</c:v>
                </c:pt>
                <c:pt idx="24">
                  <c:v>1</c:v>
                </c:pt>
              </c:numCache>
            </c:numRef>
          </c:xVal>
          <c:yVal>
            <c:numRef>
              <c:f>【付録】エッシャー化!$F$10:$F$34</c:f>
              <c:numCache>
                <c:formatCode>General</c:formatCode>
                <c:ptCount val="25"/>
                <c:pt idx="0">
                  <c:v>-0.5</c:v>
                </c:pt>
                <c:pt idx="1">
                  <c:v>-0.66554239651505986</c:v>
                </c:pt>
                <c:pt idx="2">
                  <c:v>-0.86658731220033525</c:v>
                </c:pt>
                <c:pt idx="3">
                  <c:v>-0.94183441909711429</c:v>
                </c:pt>
                <c:pt idx="4">
                  <c:v>-0.43938518364062362</c:v>
                </c:pt>
                <c:pt idx="5">
                  <c:v>-0.5</c:v>
                </c:pt>
                <c:pt idx="6">
                  <c:v>-0.3</c:v>
                </c:pt>
                <c:pt idx="7">
                  <c:v>-9.9999999999999978E-2</c:v>
                </c:pt>
                <c:pt idx="8">
                  <c:v>0.10000000000000003</c:v>
                </c:pt>
                <c:pt idx="9">
                  <c:v>0.30000000000000004</c:v>
                </c:pt>
                <c:pt idx="10">
                  <c:v>0.5</c:v>
                </c:pt>
                <c:pt idx="11">
                  <c:v>3.1269069422049878E-2</c:v>
                </c:pt>
                <c:pt idx="12">
                  <c:v>0.72220421081952102</c:v>
                </c:pt>
                <c:pt idx="13">
                  <c:v>0.72125821832918047</c:v>
                </c:pt>
                <c:pt idx="14">
                  <c:v>0.2350386629085951</c:v>
                </c:pt>
                <c:pt idx="15">
                  <c:v>0.5</c:v>
                </c:pt>
                <c:pt idx="16">
                  <c:v>0.3</c:v>
                </c:pt>
                <c:pt idx="17">
                  <c:v>9.9999999999999978E-2</c:v>
                </c:pt>
                <c:pt idx="18">
                  <c:v>-0.10000000000000003</c:v>
                </c:pt>
                <c:pt idx="19">
                  <c:v>-0.30000000000000004</c:v>
                </c:pt>
                <c:pt idx="20">
                  <c:v>-0.5</c:v>
                </c:pt>
                <c:pt idx="21">
                  <c:v>-1</c:v>
                </c:pt>
                <c:pt idx="22">
                  <c:v>-1</c:v>
                </c:pt>
                <c:pt idx="23">
                  <c:v>1</c:v>
                </c:pt>
                <c:pt idx="24">
                  <c:v>1</c:v>
                </c:pt>
              </c:numCache>
            </c:numRef>
          </c:yVal>
          <c:smooth val="0"/>
          <c:extLst>
            <c:ext xmlns:c16="http://schemas.microsoft.com/office/drawing/2014/chart" uri="{C3380CC4-5D6E-409C-BE32-E72D297353CC}">
              <c16:uniqueId val="{00000008-647F-4E8D-89CB-D9A735F0B5CE}"/>
            </c:ext>
          </c:extLst>
        </c:ser>
        <c:dLbls>
          <c:showLegendKey val="0"/>
          <c:showVal val="0"/>
          <c:showCatName val="0"/>
          <c:showSerName val="0"/>
          <c:showPercent val="0"/>
          <c:showBubbleSize val="0"/>
        </c:dLbls>
        <c:axId val="530900928"/>
        <c:axId val="530906504"/>
      </c:scatterChart>
      <c:valAx>
        <c:axId val="530900928"/>
        <c:scaling>
          <c:orientation val="minMax"/>
        </c:scaling>
        <c:delete val="1"/>
        <c:axPos val="b"/>
        <c:numFmt formatCode="General" sourceLinked="1"/>
        <c:majorTickMark val="none"/>
        <c:minorTickMark val="none"/>
        <c:tickLblPos val="nextTo"/>
        <c:crossAx val="530906504"/>
        <c:crosses val="autoZero"/>
        <c:crossBetween val="midCat"/>
      </c:valAx>
      <c:valAx>
        <c:axId val="530906504"/>
        <c:scaling>
          <c:orientation val="minMax"/>
        </c:scaling>
        <c:delete val="1"/>
        <c:axPos val="l"/>
        <c:numFmt formatCode="General" sourceLinked="1"/>
        <c:majorTickMark val="none"/>
        <c:minorTickMark val="none"/>
        <c:tickLblPos val="nextTo"/>
        <c:crossAx val="53090092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【付録】エッシャー化!$C$9</c:f>
              <c:strCache>
                <c:ptCount val="1"/>
                <c:pt idx="0">
                  <c:v>y</c:v>
                </c:pt>
              </c:strCache>
            </c:strRef>
          </c:tx>
          <c:spPr>
            <a:ln w="19050" cap="rnd">
              <a:solidFill>
                <a:schemeClr val="tx1"/>
              </a:solidFill>
              <a:round/>
            </a:ln>
            <a:effectLst/>
          </c:spPr>
          <c:marker>
            <c:symbol val="none"/>
          </c:marker>
          <c:dPt>
            <c:idx val="21"/>
            <c:marker>
              <c:symbol val="none"/>
            </c:marker>
            <c:bubble3D val="0"/>
            <c:spPr>
              <a:ln w="19050" cap="rnd">
                <a:noFill/>
                <a:round/>
              </a:ln>
              <a:effectLst/>
            </c:spPr>
            <c:extLst>
              <c:ext xmlns:c16="http://schemas.microsoft.com/office/drawing/2014/chart" uri="{C3380CC4-5D6E-409C-BE32-E72D297353CC}">
                <c16:uniqueId val="{00000001-90DC-4E72-93D1-082A7BB5105B}"/>
              </c:ext>
            </c:extLst>
          </c:dPt>
          <c:dPt>
            <c:idx val="22"/>
            <c:marker>
              <c:symbol val="none"/>
            </c:marker>
            <c:bubble3D val="0"/>
            <c:spPr>
              <a:ln w="19050" cap="rnd">
                <a:noFill/>
                <a:round/>
              </a:ln>
              <a:effectLst/>
            </c:spPr>
            <c:extLst>
              <c:ext xmlns:c16="http://schemas.microsoft.com/office/drawing/2014/chart" uri="{C3380CC4-5D6E-409C-BE32-E72D297353CC}">
                <c16:uniqueId val="{00000003-90DC-4E72-93D1-082A7BB5105B}"/>
              </c:ext>
            </c:extLst>
          </c:dPt>
          <c:dPt>
            <c:idx val="23"/>
            <c:marker>
              <c:symbol val="none"/>
            </c:marker>
            <c:bubble3D val="0"/>
            <c:spPr>
              <a:ln w="19050" cap="rnd">
                <a:noFill/>
                <a:round/>
              </a:ln>
              <a:effectLst/>
            </c:spPr>
            <c:extLst>
              <c:ext xmlns:c16="http://schemas.microsoft.com/office/drawing/2014/chart" uri="{C3380CC4-5D6E-409C-BE32-E72D297353CC}">
                <c16:uniqueId val="{00000005-90DC-4E72-93D1-082A7BB5105B}"/>
              </c:ext>
            </c:extLst>
          </c:dPt>
          <c:dPt>
            <c:idx val="24"/>
            <c:marker>
              <c:symbol val="none"/>
            </c:marker>
            <c:bubble3D val="0"/>
            <c:spPr>
              <a:ln w="19050" cap="rnd">
                <a:noFill/>
                <a:round/>
              </a:ln>
              <a:effectLst/>
            </c:spPr>
            <c:extLst>
              <c:ext xmlns:c16="http://schemas.microsoft.com/office/drawing/2014/chart" uri="{C3380CC4-5D6E-409C-BE32-E72D297353CC}">
                <c16:uniqueId val="{00000007-90DC-4E72-93D1-082A7BB5105B}"/>
              </c:ext>
            </c:extLst>
          </c:dPt>
          <c:xVal>
            <c:numRef>
              <c:f>【付録】エッシャー化!$B$10:$B$34</c:f>
              <c:numCache>
                <c:formatCode>General</c:formatCode>
                <c:ptCount val="25"/>
                <c:pt idx="0">
                  <c:v>0.5</c:v>
                </c:pt>
                <c:pt idx="1">
                  <c:v>0.66554239651505986</c:v>
                </c:pt>
                <c:pt idx="2">
                  <c:v>0.86658731220033525</c:v>
                </c:pt>
                <c:pt idx="3">
                  <c:v>0.94183441909711429</c:v>
                </c:pt>
                <c:pt idx="4">
                  <c:v>0.43938518364062362</c:v>
                </c:pt>
                <c:pt idx="5">
                  <c:v>0.5</c:v>
                </c:pt>
                <c:pt idx="6">
                  <c:v>0.3</c:v>
                </c:pt>
                <c:pt idx="7">
                  <c:v>9.9999999999999978E-2</c:v>
                </c:pt>
                <c:pt idx="8">
                  <c:v>-0.10000000000000003</c:v>
                </c:pt>
                <c:pt idx="9">
                  <c:v>-0.30000000000000004</c:v>
                </c:pt>
                <c:pt idx="10">
                  <c:v>-0.5</c:v>
                </c:pt>
                <c:pt idx="11">
                  <c:v>-3.1269069422049878E-2</c:v>
                </c:pt>
                <c:pt idx="12">
                  <c:v>-0.72220421081952102</c:v>
                </c:pt>
                <c:pt idx="13">
                  <c:v>-0.72125821832918047</c:v>
                </c:pt>
                <c:pt idx="14">
                  <c:v>-0.2350386629085951</c:v>
                </c:pt>
                <c:pt idx="15">
                  <c:v>-0.5</c:v>
                </c:pt>
                <c:pt idx="16">
                  <c:v>-0.3</c:v>
                </c:pt>
                <c:pt idx="17">
                  <c:v>-9.9999999999999978E-2</c:v>
                </c:pt>
                <c:pt idx="18">
                  <c:v>0.10000000000000003</c:v>
                </c:pt>
                <c:pt idx="19">
                  <c:v>0.30000000000000004</c:v>
                </c:pt>
                <c:pt idx="20">
                  <c:v>0.5</c:v>
                </c:pt>
                <c:pt idx="21">
                  <c:v>1</c:v>
                </c:pt>
                <c:pt idx="22">
                  <c:v>1</c:v>
                </c:pt>
                <c:pt idx="23">
                  <c:v>-1</c:v>
                </c:pt>
                <c:pt idx="24">
                  <c:v>-1</c:v>
                </c:pt>
              </c:numCache>
            </c:numRef>
          </c:xVal>
          <c:yVal>
            <c:numRef>
              <c:f>【付録】エッシャー化!$C$10:$C$34</c:f>
              <c:numCache>
                <c:formatCode>General</c:formatCode>
                <c:ptCount val="25"/>
                <c:pt idx="0">
                  <c:v>-0.5</c:v>
                </c:pt>
                <c:pt idx="1">
                  <c:v>-0.3</c:v>
                </c:pt>
                <c:pt idx="2">
                  <c:v>-9.9999999999999978E-2</c:v>
                </c:pt>
                <c:pt idx="3">
                  <c:v>0.10000000000000003</c:v>
                </c:pt>
                <c:pt idx="4">
                  <c:v>0.30000000000000004</c:v>
                </c:pt>
                <c:pt idx="5">
                  <c:v>0.5</c:v>
                </c:pt>
                <c:pt idx="6">
                  <c:v>0.33445760348494014</c:v>
                </c:pt>
                <c:pt idx="7">
                  <c:v>0.13341268779966475</c:v>
                </c:pt>
                <c:pt idx="8">
                  <c:v>5.8165580902885705E-2</c:v>
                </c:pt>
                <c:pt idx="9">
                  <c:v>0.56061481635937638</c:v>
                </c:pt>
                <c:pt idx="10">
                  <c:v>0.5</c:v>
                </c:pt>
                <c:pt idx="11">
                  <c:v>0.3</c:v>
                </c:pt>
                <c:pt idx="12">
                  <c:v>9.9999999999999978E-2</c:v>
                </c:pt>
                <c:pt idx="13">
                  <c:v>-0.10000000000000003</c:v>
                </c:pt>
                <c:pt idx="14">
                  <c:v>-0.30000000000000004</c:v>
                </c:pt>
                <c:pt idx="15">
                  <c:v>-0.5</c:v>
                </c:pt>
                <c:pt idx="16">
                  <c:v>-0.96873093057795012</c:v>
                </c:pt>
                <c:pt idx="17">
                  <c:v>-0.27779578918047898</c:v>
                </c:pt>
                <c:pt idx="18">
                  <c:v>-0.27874178167081953</c:v>
                </c:pt>
                <c:pt idx="19">
                  <c:v>-0.7649613370914049</c:v>
                </c:pt>
                <c:pt idx="20">
                  <c:v>-0.5</c:v>
                </c:pt>
                <c:pt idx="21">
                  <c:v>-1</c:v>
                </c:pt>
                <c:pt idx="22">
                  <c:v>1</c:v>
                </c:pt>
                <c:pt idx="23">
                  <c:v>1</c:v>
                </c:pt>
                <c:pt idx="24">
                  <c:v>-1</c:v>
                </c:pt>
              </c:numCache>
            </c:numRef>
          </c:yVal>
          <c:smooth val="0"/>
          <c:extLst>
            <c:ext xmlns:c16="http://schemas.microsoft.com/office/drawing/2014/chart" uri="{C3380CC4-5D6E-409C-BE32-E72D297353CC}">
              <c16:uniqueId val="{00000008-90DC-4E72-93D1-082A7BB5105B}"/>
            </c:ext>
          </c:extLst>
        </c:ser>
        <c:dLbls>
          <c:showLegendKey val="0"/>
          <c:showVal val="0"/>
          <c:showCatName val="0"/>
          <c:showSerName val="0"/>
          <c:showPercent val="0"/>
          <c:showBubbleSize val="0"/>
        </c:dLbls>
        <c:axId val="313414960"/>
        <c:axId val="264206960"/>
      </c:scatterChart>
      <c:valAx>
        <c:axId val="313414960"/>
        <c:scaling>
          <c:orientation val="minMax"/>
        </c:scaling>
        <c:delete val="1"/>
        <c:axPos val="b"/>
        <c:numFmt formatCode="General" sourceLinked="1"/>
        <c:majorTickMark val="none"/>
        <c:minorTickMark val="none"/>
        <c:tickLblPos val="nextTo"/>
        <c:crossAx val="264206960"/>
        <c:crosses val="autoZero"/>
        <c:crossBetween val="midCat"/>
      </c:valAx>
      <c:valAx>
        <c:axId val="264206960"/>
        <c:scaling>
          <c:orientation val="minMax"/>
        </c:scaling>
        <c:delete val="1"/>
        <c:axPos val="l"/>
        <c:numFmt formatCode="General" sourceLinked="1"/>
        <c:majorTickMark val="none"/>
        <c:minorTickMark val="none"/>
        <c:tickLblPos val="nextTo"/>
        <c:crossAx val="31341496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【付録】エッシャー化!$C$9</c:f>
              <c:strCache>
                <c:ptCount val="1"/>
                <c:pt idx="0">
                  <c:v>y</c:v>
                </c:pt>
              </c:strCache>
            </c:strRef>
          </c:tx>
          <c:spPr>
            <a:ln w="19050" cap="rnd">
              <a:solidFill>
                <a:schemeClr val="tx1"/>
              </a:solidFill>
              <a:round/>
            </a:ln>
            <a:effectLst/>
          </c:spPr>
          <c:marker>
            <c:symbol val="none"/>
          </c:marker>
          <c:dPt>
            <c:idx val="21"/>
            <c:marker>
              <c:symbol val="none"/>
            </c:marker>
            <c:bubble3D val="0"/>
            <c:spPr>
              <a:ln w="19050" cap="rnd">
                <a:noFill/>
                <a:round/>
              </a:ln>
              <a:effectLst/>
            </c:spPr>
            <c:extLst>
              <c:ext xmlns:c16="http://schemas.microsoft.com/office/drawing/2014/chart" uri="{C3380CC4-5D6E-409C-BE32-E72D297353CC}">
                <c16:uniqueId val="{00000001-D682-4FFC-BC5F-37E0603F3C32}"/>
              </c:ext>
            </c:extLst>
          </c:dPt>
          <c:dPt>
            <c:idx val="22"/>
            <c:marker>
              <c:symbol val="none"/>
            </c:marker>
            <c:bubble3D val="0"/>
            <c:spPr>
              <a:ln w="19050" cap="rnd">
                <a:noFill/>
                <a:round/>
              </a:ln>
              <a:effectLst/>
            </c:spPr>
            <c:extLst>
              <c:ext xmlns:c16="http://schemas.microsoft.com/office/drawing/2014/chart" uri="{C3380CC4-5D6E-409C-BE32-E72D297353CC}">
                <c16:uniqueId val="{00000003-D682-4FFC-BC5F-37E0603F3C32}"/>
              </c:ext>
            </c:extLst>
          </c:dPt>
          <c:dPt>
            <c:idx val="23"/>
            <c:marker>
              <c:symbol val="none"/>
            </c:marker>
            <c:bubble3D val="0"/>
            <c:spPr>
              <a:ln w="19050" cap="rnd">
                <a:noFill/>
                <a:round/>
              </a:ln>
              <a:effectLst/>
            </c:spPr>
            <c:extLst>
              <c:ext xmlns:c16="http://schemas.microsoft.com/office/drawing/2014/chart" uri="{C3380CC4-5D6E-409C-BE32-E72D297353CC}">
                <c16:uniqueId val="{00000005-D682-4FFC-BC5F-37E0603F3C32}"/>
              </c:ext>
            </c:extLst>
          </c:dPt>
          <c:dPt>
            <c:idx val="24"/>
            <c:marker>
              <c:symbol val="none"/>
            </c:marker>
            <c:bubble3D val="0"/>
            <c:spPr>
              <a:ln w="19050" cap="rnd">
                <a:noFill/>
                <a:round/>
              </a:ln>
              <a:effectLst/>
            </c:spPr>
            <c:extLst>
              <c:ext xmlns:c16="http://schemas.microsoft.com/office/drawing/2014/chart" uri="{C3380CC4-5D6E-409C-BE32-E72D297353CC}">
                <c16:uniqueId val="{00000007-D682-4FFC-BC5F-37E0603F3C32}"/>
              </c:ext>
            </c:extLst>
          </c:dPt>
          <c:xVal>
            <c:numRef>
              <c:f>【付録】エッシャー化!$B$10:$B$34</c:f>
              <c:numCache>
                <c:formatCode>General</c:formatCode>
                <c:ptCount val="25"/>
                <c:pt idx="0">
                  <c:v>0.5</c:v>
                </c:pt>
                <c:pt idx="1">
                  <c:v>0.66554239651505986</c:v>
                </c:pt>
                <c:pt idx="2">
                  <c:v>0.86658731220033525</c:v>
                </c:pt>
                <c:pt idx="3">
                  <c:v>0.94183441909711429</c:v>
                </c:pt>
                <c:pt idx="4">
                  <c:v>0.43938518364062362</c:v>
                </c:pt>
                <c:pt idx="5">
                  <c:v>0.5</c:v>
                </c:pt>
                <c:pt idx="6">
                  <c:v>0.3</c:v>
                </c:pt>
                <c:pt idx="7">
                  <c:v>9.9999999999999978E-2</c:v>
                </c:pt>
                <c:pt idx="8">
                  <c:v>-0.10000000000000003</c:v>
                </c:pt>
                <c:pt idx="9">
                  <c:v>-0.30000000000000004</c:v>
                </c:pt>
                <c:pt idx="10">
                  <c:v>-0.5</c:v>
                </c:pt>
                <c:pt idx="11">
                  <c:v>-3.1269069422049878E-2</c:v>
                </c:pt>
                <c:pt idx="12">
                  <c:v>-0.72220421081952102</c:v>
                </c:pt>
                <c:pt idx="13">
                  <c:v>-0.72125821832918047</c:v>
                </c:pt>
                <c:pt idx="14">
                  <c:v>-0.2350386629085951</c:v>
                </c:pt>
                <c:pt idx="15">
                  <c:v>-0.5</c:v>
                </c:pt>
                <c:pt idx="16">
                  <c:v>-0.3</c:v>
                </c:pt>
                <c:pt idx="17">
                  <c:v>-9.9999999999999978E-2</c:v>
                </c:pt>
                <c:pt idx="18">
                  <c:v>0.10000000000000003</c:v>
                </c:pt>
                <c:pt idx="19">
                  <c:v>0.30000000000000004</c:v>
                </c:pt>
                <c:pt idx="20">
                  <c:v>0.5</c:v>
                </c:pt>
                <c:pt idx="21">
                  <c:v>1</c:v>
                </c:pt>
                <c:pt idx="22">
                  <c:v>1</c:v>
                </c:pt>
                <c:pt idx="23">
                  <c:v>-1</c:v>
                </c:pt>
                <c:pt idx="24">
                  <c:v>-1</c:v>
                </c:pt>
              </c:numCache>
            </c:numRef>
          </c:xVal>
          <c:yVal>
            <c:numRef>
              <c:f>【付録】エッシャー化!$C$10:$C$34</c:f>
              <c:numCache>
                <c:formatCode>General</c:formatCode>
                <c:ptCount val="25"/>
                <c:pt idx="0">
                  <c:v>-0.5</c:v>
                </c:pt>
                <c:pt idx="1">
                  <c:v>-0.3</c:v>
                </c:pt>
                <c:pt idx="2">
                  <c:v>-9.9999999999999978E-2</c:v>
                </c:pt>
                <c:pt idx="3">
                  <c:v>0.10000000000000003</c:v>
                </c:pt>
                <c:pt idx="4">
                  <c:v>0.30000000000000004</c:v>
                </c:pt>
                <c:pt idx="5">
                  <c:v>0.5</c:v>
                </c:pt>
                <c:pt idx="6">
                  <c:v>0.33445760348494014</c:v>
                </c:pt>
                <c:pt idx="7">
                  <c:v>0.13341268779966475</c:v>
                </c:pt>
                <c:pt idx="8">
                  <c:v>5.8165580902885705E-2</c:v>
                </c:pt>
                <c:pt idx="9">
                  <c:v>0.56061481635937638</c:v>
                </c:pt>
                <c:pt idx="10">
                  <c:v>0.5</c:v>
                </c:pt>
                <c:pt idx="11">
                  <c:v>0.3</c:v>
                </c:pt>
                <c:pt idx="12">
                  <c:v>9.9999999999999978E-2</c:v>
                </c:pt>
                <c:pt idx="13">
                  <c:v>-0.10000000000000003</c:v>
                </c:pt>
                <c:pt idx="14">
                  <c:v>-0.30000000000000004</c:v>
                </c:pt>
                <c:pt idx="15">
                  <c:v>-0.5</c:v>
                </c:pt>
                <c:pt idx="16">
                  <c:v>-0.96873093057795012</c:v>
                </c:pt>
                <c:pt idx="17">
                  <c:v>-0.27779578918047898</c:v>
                </c:pt>
                <c:pt idx="18">
                  <c:v>-0.27874178167081953</c:v>
                </c:pt>
                <c:pt idx="19">
                  <c:v>-0.7649613370914049</c:v>
                </c:pt>
                <c:pt idx="20">
                  <c:v>-0.5</c:v>
                </c:pt>
                <c:pt idx="21">
                  <c:v>-1</c:v>
                </c:pt>
                <c:pt idx="22">
                  <c:v>1</c:v>
                </c:pt>
                <c:pt idx="23">
                  <c:v>1</c:v>
                </c:pt>
                <c:pt idx="24">
                  <c:v>-1</c:v>
                </c:pt>
              </c:numCache>
            </c:numRef>
          </c:yVal>
          <c:smooth val="0"/>
          <c:extLst>
            <c:ext xmlns:c16="http://schemas.microsoft.com/office/drawing/2014/chart" uri="{C3380CC4-5D6E-409C-BE32-E72D297353CC}">
              <c16:uniqueId val="{00000008-D682-4FFC-BC5F-37E0603F3C32}"/>
            </c:ext>
          </c:extLst>
        </c:ser>
        <c:dLbls>
          <c:showLegendKey val="0"/>
          <c:showVal val="0"/>
          <c:showCatName val="0"/>
          <c:showSerName val="0"/>
          <c:showPercent val="0"/>
          <c:showBubbleSize val="0"/>
        </c:dLbls>
        <c:axId val="313414960"/>
        <c:axId val="264206960"/>
      </c:scatterChart>
      <c:valAx>
        <c:axId val="313414960"/>
        <c:scaling>
          <c:orientation val="minMax"/>
        </c:scaling>
        <c:delete val="1"/>
        <c:axPos val="b"/>
        <c:numFmt formatCode="General" sourceLinked="1"/>
        <c:majorTickMark val="none"/>
        <c:minorTickMark val="none"/>
        <c:tickLblPos val="nextTo"/>
        <c:crossAx val="264206960"/>
        <c:crosses val="autoZero"/>
        <c:crossBetween val="midCat"/>
      </c:valAx>
      <c:valAx>
        <c:axId val="264206960"/>
        <c:scaling>
          <c:orientation val="minMax"/>
        </c:scaling>
        <c:delete val="1"/>
        <c:axPos val="l"/>
        <c:numFmt formatCode="General" sourceLinked="1"/>
        <c:majorTickMark val="none"/>
        <c:minorTickMark val="none"/>
        <c:tickLblPos val="nextTo"/>
        <c:crossAx val="31341496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【付録】エッシャー化!$F$9</c:f>
              <c:strCache>
                <c:ptCount val="1"/>
                <c:pt idx="0">
                  <c:v>y</c:v>
                </c:pt>
              </c:strCache>
            </c:strRef>
          </c:tx>
          <c:spPr>
            <a:ln w="19050" cap="rnd">
              <a:solidFill>
                <a:schemeClr val="tx1"/>
              </a:solidFill>
              <a:round/>
            </a:ln>
            <a:effectLst/>
          </c:spPr>
          <c:marker>
            <c:symbol val="none"/>
          </c:marker>
          <c:dPt>
            <c:idx val="21"/>
            <c:marker>
              <c:symbol val="none"/>
            </c:marker>
            <c:bubble3D val="0"/>
            <c:spPr>
              <a:ln w="19050" cap="rnd">
                <a:noFill/>
                <a:round/>
              </a:ln>
              <a:effectLst/>
            </c:spPr>
            <c:extLst>
              <c:ext xmlns:c16="http://schemas.microsoft.com/office/drawing/2014/chart" uri="{C3380CC4-5D6E-409C-BE32-E72D297353CC}">
                <c16:uniqueId val="{00000001-AFA0-478D-AD08-05B54B49C2A0}"/>
              </c:ext>
            </c:extLst>
          </c:dPt>
          <c:dPt>
            <c:idx val="22"/>
            <c:marker>
              <c:symbol val="none"/>
            </c:marker>
            <c:bubble3D val="0"/>
            <c:spPr>
              <a:ln w="19050" cap="rnd">
                <a:noFill/>
                <a:round/>
              </a:ln>
              <a:effectLst/>
            </c:spPr>
            <c:extLst>
              <c:ext xmlns:c16="http://schemas.microsoft.com/office/drawing/2014/chart" uri="{C3380CC4-5D6E-409C-BE32-E72D297353CC}">
                <c16:uniqueId val="{00000003-AFA0-478D-AD08-05B54B49C2A0}"/>
              </c:ext>
            </c:extLst>
          </c:dPt>
          <c:dPt>
            <c:idx val="23"/>
            <c:marker>
              <c:symbol val="none"/>
            </c:marker>
            <c:bubble3D val="0"/>
            <c:spPr>
              <a:ln w="19050" cap="rnd">
                <a:noFill/>
                <a:round/>
              </a:ln>
              <a:effectLst/>
            </c:spPr>
            <c:extLst>
              <c:ext xmlns:c16="http://schemas.microsoft.com/office/drawing/2014/chart" uri="{C3380CC4-5D6E-409C-BE32-E72D297353CC}">
                <c16:uniqueId val="{00000005-AFA0-478D-AD08-05B54B49C2A0}"/>
              </c:ext>
            </c:extLst>
          </c:dPt>
          <c:dPt>
            <c:idx val="24"/>
            <c:marker>
              <c:symbol val="none"/>
            </c:marker>
            <c:bubble3D val="0"/>
            <c:spPr>
              <a:ln w="19050" cap="rnd">
                <a:noFill/>
                <a:round/>
              </a:ln>
              <a:effectLst/>
            </c:spPr>
            <c:extLst>
              <c:ext xmlns:c16="http://schemas.microsoft.com/office/drawing/2014/chart" uri="{C3380CC4-5D6E-409C-BE32-E72D297353CC}">
                <c16:uniqueId val="{00000007-AFA0-478D-AD08-05B54B49C2A0}"/>
              </c:ext>
            </c:extLst>
          </c:dPt>
          <c:xVal>
            <c:numRef>
              <c:f>【付録】エッシャー化!$E$10:$E$34</c:f>
              <c:numCache>
                <c:formatCode>General</c:formatCode>
                <c:ptCount val="25"/>
                <c:pt idx="0">
                  <c:v>0.5</c:v>
                </c:pt>
                <c:pt idx="1">
                  <c:v>0.3</c:v>
                </c:pt>
                <c:pt idx="2">
                  <c:v>9.9999999999999978E-2</c:v>
                </c:pt>
                <c:pt idx="3">
                  <c:v>-0.10000000000000003</c:v>
                </c:pt>
                <c:pt idx="4">
                  <c:v>-0.30000000000000004</c:v>
                </c:pt>
                <c:pt idx="5">
                  <c:v>-0.5</c:v>
                </c:pt>
                <c:pt idx="6">
                  <c:v>-0.33445760348494014</c:v>
                </c:pt>
                <c:pt idx="7">
                  <c:v>-0.13341268779966475</c:v>
                </c:pt>
                <c:pt idx="8">
                  <c:v>-5.8165580902885705E-2</c:v>
                </c:pt>
                <c:pt idx="9">
                  <c:v>-0.56061481635937638</c:v>
                </c:pt>
                <c:pt idx="10">
                  <c:v>-0.5</c:v>
                </c:pt>
                <c:pt idx="11">
                  <c:v>-0.3</c:v>
                </c:pt>
                <c:pt idx="12">
                  <c:v>-9.9999999999999978E-2</c:v>
                </c:pt>
                <c:pt idx="13">
                  <c:v>0.10000000000000003</c:v>
                </c:pt>
                <c:pt idx="14">
                  <c:v>0.30000000000000004</c:v>
                </c:pt>
                <c:pt idx="15">
                  <c:v>0.5</c:v>
                </c:pt>
                <c:pt idx="16">
                  <c:v>0.96873093057795012</c:v>
                </c:pt>
                <c:pt idx="17">
                  <c:v>0.27779578918047898</c:v>
                </c:pt>
                <c:pt idx="18">
                  <c:v>0.27874178167081953</c:v>
                </c:pt>
                <c:pt idx="19">
                  <c:v>0.7649613370914049</c:v>
                </c:pt>
                <c:pt idx="20">
                  <c:v>0.5</c:v>
                </c:pt>
                <c:pt idx="21">
                  <c:v>1</c:v>
                </c:pt>
                <c:pt idx="22">
                  <c:v>-1</c:v>
                </c:pt>
                <c:pt idx="23">
                  <c:v>-1</c:v>
                </c:pt>
                <c:pt idx="24">
                  <c:v>1</c:v>
                </c:pt>
              </c:numCache>
            </c:numRef>
          </c:xVal>
          <c:yVal>
            <c:numRef>
              <c:f>【付録】エッシャー化!$F$10:$F$34</c:f>
              <c:numCache>
                <c:formatCode>General</c:formatCode>
                <c:ptCount val="25"/>
                <c:pt idx="0">
                  <c:v>-0.5</c:v>
                </c:pt>
                <c:pt idx="1">
                  <c:v>-0.66554239651505986</c:v>
                </c:pt>
                <c:pt idx="2">
                  <c:v>-0.86658731220033525</c:v>
                </c:pt>
                <c:pt idx="3">
                  <c:v>-0.94183441909711429</c:v>
                </c:pt>
                <c:pt idx="4">
                  <c:v>-0.43938518364062362</c:v>
                </c:pt>
                <c:pt idx="5">
                  <c:v>-0.5</c:v>
                </c:pt>
                <c:pt idx="6">
                  <c:v>-0.3</c:v>
                </c:pt>
                <c:pt idx="7">
                  <c:v>-9.9999999999999978E-2</c:v>
                </c:pt>
                <c:pt idx="8">
                  <c:v>0.10000000000000003</c:v>
                </c:pt>
                <c:pt idx="9">
                  <c:v>0.30000000000000004</c:v>
                </c:pt>
                <c:pt idx="10">
                  <c:v>0.5</c:v>
                </c:pt>
                <c:pt idx="11">
                  <c:v>3.1269069422049878E-2</c:v>
                </c:pt>
                <c:pt idx="12">
                  <c:v>0.72220421081952102</c:v>
                </c:pt>
                <c:pt idx="13">
                  <c:v>0.72125821832918047</c:v>
                </c:pt>
                <c:pt idx="14">
                  <c:v>0.2350386629085951</c:v>
                </c:pt>
                <c:pt idx="15">
                  <c:v>0.5</c:v>
                </c:pt>
                <c:pt idx="16">
                  <c:v>0.3</c:v>
                </c:pt>
                <c:pt idx="17">
                  <c:v>9.9999999999999978E-2</c:v>
                </c:pt>
                <c:pt idx="18">
                  <c:v>-0.10000000000000003</c:v>
                </c:pt>
                <c:pt idx="19">
                  <c:v>-0.30000000000000004</c:v>
                </c:pt>
                <c:pt idx="20">
                  <c:v>-0.5</c:v>
                </c:pt>
                <c:pt idx="21">
                  <c:v>-1</c:v>
                </c:pt>
                <c:pt idx="22">
                  <c:v>-1</c:v>
                </c:pt>
                <c:pt idx="23">
                  <c:v>1</c:v>
                </c:pt>
                <c:pt idx="24">
                  <c:v>1</c:v>
                </c:pt>
              </c:numCache>
            </c:numRef>
          </c:yVal>
          <c:smooth val="0"/>
          <c:extLst>
            <c:ext xmlns:c16="http://schemas.microsoft.com/office/drawing/2014/chart" uri="{C3380CC4-5D6E-409C-BE32-E72D297353CC}">
              <c16:uniqueId val="{00000008-AFA0-478D-AD08-05B54B49C2A0}"/>
            </c:ext>
          </c:extLst>
        </c:ser>
        <c:dLbls>
          <c:showLegendKey val="0"/>
          <c:showVal val="0"/>
          <c:showCatName val="0"/>
          <c:showSerName val="0"/>
          <c:showPercent val="0"/>
          <c:showBubbleSize val="0"/>
        </c:dLbls>
        <c:axId val="530900928"/>
        <c:axId val="530906504"/>
      </c:scatterChart>
      <c:valAx>
        <c:axId val="530900928"/>
        <c:scaling>
          <c:orientation val="minMax"/>
        </c:scaling>
        <c:delete val="1"/>
        <c:axPos val="b"/>
        <c:numFmt formatCode="General" sourceLinked="1"/>
        <c:majorTickMark val="none"/>
        <c:minorTickMark val="none"/>
        <c:tickLblPos val="nextTo"/>
        <c:crossAx val="530906504"/>
        <c:crosses val="autoZero"/>
        <c:crossBetween val="midCat"/>
      </c:valAx>
      <c:valAx>
        <c:axId val="530906504"/>
        <c:scaling>
          <c:orientation val="minMax"/>
        </c:scaling>
        <c:delete val="1"/>
        <c:axPos val="l"/>
        <c:numFmt formatCode="General" sourceLinked="1"/>
        <c:majorTickMark val="none"/>
        <c:minorTickMark val="none"/>
        <c:tickLblPos val="nextTo"/>
        <c:crossAx val="53090092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【付録】エッシャー化!$C$9</c:f>
              <c:strCache>
                <c:ptCount val="1"/>
                <c:pt idx="0">
                  <c:v>y</c:v>
                </c:pt>
              </c:strCache>
            </c:strRef>
          </c:tx>
          <c:spPr>
            <a:ln w="19050" cap="rnd">
              <a:solidFill>
                <a:schemeClr val="tx1"/>
              </a:solidFill>
              <a:round/>
            </a:ln>
            <a:effectLst>
              <a:softEdge rad="0"/>
            </a:effectLst>
          </c:spPr>
          <c:marker>
            <c:symbol val="none"/>
          </c:marker>
          <c:dPt>
            <c:idx val="21"/>
            <c:marker>
              <c:symbol val="none"/>
            </c:marker>
            <c:bubble3D val="0"/>
            <c:spPr>
              <a:ln w="19050" cap="rnd">
                <a:noFill/>
                <a:round/>
              </a:ln>
              <a:effectLst>
                <a:softEdge rad="0"/>
              </a:effectLst>
            </c:spPr>
            <c:extLst>
              <c:ext xmlns:c16="http://schemas.microsoft.com/office/drawing/2014/chart" uri="{C3380CC4-5D6E-409C-BE32-E72D297353CC}">
                <c16:uniqueId val="{00000001-7EEA-4419-9245-956D08B2E6B4}"/>
              </c:ext>
            </c:extLst>
          </c:dPt>
          <c:dPt>
            <c:idx val="22"/>
            <c:marker>
              <c:symbol val="none"/>
            </c:marker>
            <c:bubble3D val="0"/>
            <c:spPr>
              <a:ln w="19050" cap="rnd">
                <a:noFill/>
                <a:round/>
              </a:ln>
              <a:effectLst>
                <a:softEdge rad="0"/>
              </a:effectLst>
            </c:spPr>
            <c:extLst>
              <c:ext xmlns:c16="http://schemas.microsoft.com/office/drawing/2014/chart" uri="{C3380CC4-5D6E-409C-BE32-E72D297353CC}">
                <c16:uniqueId val="{00000003-7EEA-4419-9245-956D08B2E6B4}"/>
              </c:ext>
            </c:extLst>
          </c:dPt>
          <c:dPt>
            <c:idx val="23"/>
            <c:marker>
              <c:symbol val="none"/>
            </c:marker>
            <c:bubble3D val="0"/>
            <c:spPr>
              <a:ln w="19050" cap="rnd">
                <a:noFill/>
                <a:round/>
              </a:ln>
              <a:effectLst>
                <a:softEdge rad="0"/>
              </a:effectLst>
            </c:spPr>
            <c:extLst>
              <c:ext xmlns:c16="http://schemas.microsoft.com/office/drawing/2014/chart" uri="{C3380CC4-5D6E-409C-BE32-E72D297353CC}">
                <c16:uniqueId val="{00000005-7EEA-4419-9245-956D08B2E6B4}"/>
              </c:ext>
            </c:extLst>
          </c:dPt>
          <c:dPt>
            <c:idx val="24"/>
            <c:marker>
              <c:symbol val="none"/>
            </c:marker>
            <c:bubble3D val="0"/>
            <c:spPr>
              <a:ln w="19050" cap="rnd">
                <a:noFill/>
                <a:round/>
              </a:ln>
              <a:effectLst>
                <a:softEdge rad="0"/>
              </a:effectLst>
            </c:spPr>
            <c:extLst>
              <c:ext xmlns:c16="http://schemas.microsoft.com/office/drawing/2014/chart" uri="{C3380CC4-5D6E-409C-BE32-E72D297353CC}">
                <c16:uniqueId val="{00000007-7EEA-4419-9245-956D08B2E6B4}"/>
              </c:ext>
            </c:extLst>
          </c:dPt>
          <c:xVal>
            <c:numRef>
              <c:f>【付録】エッシャー化!$B$10:$B$34</c:f>
              <c:numCache>
                <c:formatCode>General</c:formatCode>
                <c:ptCount val="25"/>
                <c:pt idx="0">
                  <c:v>0.5</c:v>
                </c:pt>
                <c:pt idx="1">
                  <c:v>0.66554239651505986</c:v>
                </c:pt>
                <c:pt idx="2">
                  <c:v>0.86658731220033525</c:v>
                </c:pt>
                <c:pt idx="3">
                  <c:v>0.94183441909711429</c:v>
                </c:pt>
                <c:pt idx="4">
                  <c:v>0.43938518364062362</c:v>
                </c:pt>
                <c:pt idx="5">
                  <c:v>0.5</c:v>
                </c:pt>
                <c:pt idx="6">
                  <c:v>0.3</c:v>
                </c:pt>
                <c:pt idx="7">
                  <c:v>9.9999999999999978E-2</c:v>
                </c:pt>
                <c:pt idx="8">
                  <c:v>-0.10000000000000003</c:v>
                </c:pt>
                <c:pt idx="9">
                  <c:v>-0.30000000000000004</c:v>
                </c:pt>
                <c:pt idx="10">
                  <c:v>-0.5</c:v>
                </c:pt>
                <c:pt idx="11">
                  <c:v>-3.1269069422049878E-2</c:v>
                </c:pt>
                <c:pt idx="12">
                  <c:v>-0.72220421081952102</c:v>
                </c:pt>
                <c:pt idx="13">
                  <c:v>-0.72125821832918047</c:v>
                </c:pt>
                <c:pt idx="14">
                  <c:v>-0.2350386629085951</c:v>
                </c:pt>
                <c:pt idx="15">
                  <c:v>-0.5</c:v>
                </c:pt>
                <c:pt idx="16">
                  <c:v>-0.3</c:v>
                </c:pt>
                <c:pt idx="17">
                  <c:v>-9.9999999999999978E-2</c:v>
                </c:pt>
                <c:pt idx="18">
                  <c:v>0.10000000000000003</c:v>
                </c:pt>
                <c:pt idx="19">
                  <c:v>0.30000000000000004</c:v>
                </c:pt>
                <c:pt idx="20">
                  <c:v>0.5</c:v>
                </c:pt>
                <c:pt idx="21">
                  <c:v>1</c:v>
                </c:pt>
                <c:pt idx="22">
                  <c:v>1</c:v>
                </c:pt>
                <c:pt idx="23">
                  <c:v>-1</c:v>
                </c:pt>
                <c:pt idx="24">
                  <c:v>-1</c:v>
                </c:pt>
              </c:numCache>
            </c:numRef>
          </c:xVal>
          <c:yVal>
            <c:numRef>
              <c:f>【付録】エッシャー化!$C$10:$C$34</c:f>
              <c:numCache>
                <c:formatCode>General</c:formatCode>
                <c:ptCount val="25"/>
                <c:pt idx="0">
                  <c:v>-0.5</c:v>
                </c:pt>
                <c:pt idx="1">
                  <c:v>-0.3</c:v>
                </c:pt>
                <c:pt idx="2">
                  <c:v>-9.9999999999999978E-2</c:v>
                </c:pt>
                <c:pt idx="3">
                  <c:v>0.10000000000000003</c:v>
                </c:pt>
                <c:pt idx="4">
                  <c:v>0.30000000000000004</c:v>
                </c:pt>
                <c:pt idx="5">
                  <c:v>0.5</c:v>
                </c:pt>
                <c:pt idx="6">
                  <c:v>0.33445760348494014</c:v>
                </c:pt>
                <c:pt idx="7">
                  <c:v>0.13341268779966475</c:v>
                </c:pt>
                <c:pt idx="8">
                  <c:v>5.8165580902885705E-2</c:v>
                </c:pt>
                <c:pt idx="9">
                  <c:v>0.56061481635937638</c:v>
                </c:pt>
                <c:pt idx="10">
                  <c:v>0.5</c:v>
                </c:pt>
                <c:pt idx="11">
                  <c:v>0.3</c:v>
                </c:pt>
                <c:pt idx="12">
                  <c:v>9.9999999999999978E-2</c:v>
                </c:pt>
                <c:pt idx="13">
                  <c:v>-0.10000000000000003</c:v>
                </c:pt>
                <c:pt idx="14">
                  <c:v>-0.30000000000000004</c:v>
                </c:pt>
                <c:pt idx="15">
                  <c:v>-0.5</c:v>
                </c:pt>
                <c:pt idx="16">
                  <c:v>-0.96873093057795012</c:v>
                </c:pt>
                <c:pt idx="17">
                  <c:v>-0.27779578918047898</c:v>
                </c:pt>
                <c:pt idx="18">
                  <c:v>-0.27874178167081953</c:v>
                </c:pt>
                <c:pt idx="19">
                  <c:v>-0.7649613370914049</c:v>
                </c:pt>
                <c:pt idx="20">
                  <c:v>-0.5</c:v>
                </c:pt>
                <c:pt idx="21">
                  <c:v>-1</c:v>
                </c:pt>
                <c:pt idx="22">
                  <c:v>1</c:v>
                </c:pt>
                <c:pt idx="23">
                  <c:v>1</c:v>
                </c:pt>
                <c:pt idx="24">
                  <c:v>-1</c:v>
                </c:pt>
              </c:numCache>
            </c:numRef>
          </c:yVal>
          <c:smooth val="0"/>
          <c:extLst>
            <c:ext xmlns:c16="http://schemas.microsoft.com/office/drawing/2014/chart" uri="{C3380CC4-5D6E-409C-BE32-E72D297353CC}">
              <c16:uniqueId val="{00000008-7EEA-4419-9245-956D08B2E6B4}"/>
            </c:ext>
          </c:extLst>
        </c:ser>
        <c:dLbls>
          <c:showLegendKey val="0"/>
          <c:showVal val="0"/>
          <c:showCatName val="0"/>
          <c:showSerName val="0"/>
          <c:showPercent val="0"/>
          <c:showBubbleSize val="0"/>
        </c:dLbls>
        <c:axId val="313414960"/>
        <c:axId val="264206960"/>
      </c:scatterChart>
      <c:valAx>
        <c:axId val="313414960"/>
        <c:scaling>
          <c:orientation val="minMax"/>
        </c:scaling>
        <c:delete val="1"/>
        <c:axPos val="b"/>
        <c:numFmt formatCode="General" sourceLinked="1"/>
        <c:majorTickMark val="none"/>
        <c:minorTickMark val="none"/>
        <c:tickLblPos val="nextTo"/>
        <c:crossAx val="264206960"/>
        <c:crosses val="autoZero"/>
        <c:crossBetween val="midCat"/>
      </c:valAx>
      <c:valAx>
        <c:axId val="264206960"/>
        <c:scaling>
          <c:orientation val="minMax"/>
        </c:scaling>
        <c:delete val="1"/>
        <c:axPos val="l"/>
        <c:numFmt formatCode="General" sourceLinked="1"/>
        <c:majorTickMark val="none"/>
        <c:minorTickMark val="none"/>
        <c:tickLblPos val="nextTo"/>
        <c:crossAx val="31341496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【付録】万華鏡!$F$7</c:f>
              <c:strCache>
                <c:ptCount val="1"/>
                <c:pt idx="0">
                  <c:v>y</c:v>
                </c:pt>
              </c:strCache>
            </c:strRef>
          </c:tx>
          <c:spPr>
            <a:ln w="0" cap="rnd">
              <a:solidFill>
                <a:srgbClr val="FF0000"/>
              </a:solidFill>
              <a:round/>
            </a:ln>
            <a:effectLst/>
          </c:spPr>
          <c:marker>
            <c:symbol val="none"/>
          </c:marker>
          <c:dPt>
            <c:idx val="67"/>
            <c:marker>
              <c:symbol val="none"/>
            </c:marker>
            <c:bubble3D val="0"/>
            <c:spPr>
              <a:ln w="0" cap="rnd">
                <a:noFill/>
                <a:round/>
              </a:ln>
              <a:effectLst/>
            </c:spPr>
            <c:extLst>
              <c:ext xmlns:c16="http://schemas.microsoft.com/office/drawing/2014/chart" uri="{C3380CC4-5D6E-409C-BE32-E72D297353CC}">
                <c16:uniqueId val="{00000001-F3FC-4657-8C8B-46CBFBA0AE82}"/>
              </c:ext>
            </c:extLst>
          </c:dPt>
          <c:dPt>
            <c:idx val="68"/>
            <c:marker>
              <c:symbol val="none"/>
            </c:marker>
            <c:bubble3D val="0"/>
            <c:spPr>
              <a:ln w="0" cap="rnd">
                <a:solidFill>
                  <a:srgbClr val="FF0000"/>
                </a:solidFill>
                <a:round/>
              </a:ln>
              <a:effectLst/>
            </c:spPr>
            <c:extLst>
              <c:ext xmlns:c16="http://schemas.microsoft.com/office/drawing/2014/chart" uri="{C3380CC4-5D6E-409C-BE32-E72D297353CC}">
                <c16:uniqueId val="{00000003-F3FC-4657-8C8B-46CBFBA0AE82}"/>
              </c:ext>
            </c:extLst>
          </c:dPt>
          <c:dPt>
            <c:idx val="69"/>
            <c:marker>
              <c:symbol val="none"/>
            </c:marker>
            <c:bubble3D val="0"/>
            <c:spPr>
              <a:ln w="0" cap="rnd">
                <a:solidFill>
                  <a:srgbClr val="FF0000"/>
                </a:solidFill>
                <a:round/>
              </a:ln>
              <a:effectLst/>
            </c:spPr>
            <c:extLst>
              <c:ext xmlns:c16="http://schemas.microsoft.com/office/drawing/2014/chart" uri="{C3380CC4-5D6E-409C-BE32-E72D297353CC}">
                <c16:uniqueId val="{00000005-F3FC-4657-8C8B-46CBFBA0AE82}"/>
              </c:ext>
            </c:extLst>
          </c:dPt>
          <c:dPt>
            <c:idx val="70"/>
            <c:marker>
              <c:symbol val="none"/>
            </c:marker>
            <c:bubble3D val="0"/>
            <c:spPr>
              <a:ln w="0" cap="rnd">
                <a:solidFill>
                  <a:srgbClr val="FF0000"/>
                </a:solidFill>
                <a:round/>
              </a:ln>
              <a:effectLst/>
            </c:spPr>
            <c:extLst>
              <c:ext xmlns:c16="http://schemas.microsoft.com/office/drawing/2014/chart" uri="{C3380CC4-5D6E-409C-BE32-E72D297353CC}">
                <c16:uniqueId val="{00000007-F3FC-4657-8C8B-46CBFBA0AE82}"/>
              </c:ext>
            </c:extLst>
          </c:dPt>
          <c:dPt>
            <c:idx val="133"/>
            <c:marker>
              <c:symbol val="none"/>
            </c:marker>
            <c:bubble3D val="0"/>
            <c:spPr>
              <a:ln w="0" cap="rnd">
                <a:noFill/>
                <a:round/>
              </a:ln>
              <a:effectLst/>
            </c:spPr>
            <c:extLst>
              <c:ext xmlns:c16="http://schemas.microsoft.com/office/drawing/2014/chart" uri="{C3380CC4-5D6E-409C-BE32-E72D297353CC}">
                <c16:uniqueId val="{00000009-F3FC-4657-8C8B-46CBFBA0AE82}"/>
              </c:ext>
            </c:extLst>
          </c:dPt>
          <c:dPt>
            <c:idx val="199"/>
            <c:marker>
              <c:symbol val="none"/>
            </c:marker>
            <c:bubble3D val="0"/>
            <c:spPr>
              <a:ln w="0" cap="rnd">
                <a:noFill/>
                <a:round/>
              </a:ln>
              <a:effectLst/>
            </c:spPr>
            <c:extLst>
              <c:ext xmlns:c16="http://schemas.microsoft.com/office/drawing/2014/chart" uri="{C3380CC4-5D6E-409C-BE32-E72D297353CC}">
                <c16:uniqueId val="{0000000B-F3FC-4657-8C8B-46CBFBA0AE82}"/>
              </c:ext>
            </c:extLst>
          </c:dPt>
          <c:dPt>
            <c:idx val="263"/>
            <c:marker>
              <c:symbol val="none"/>
            </c:marker>
            <c:bubble3D val="0"/>
            <c:spPr>
              <a:ln w="0" cap="rnd">
                <a:noFill/>
                <a:round/>
              </a:ln>
              <a:effectLst/>
            </c:spPr>
            <c:extLst>
              <c:ext xmlns:c16="http://schemas.microsoft.com/office/drawing/2014/chart" uri="{C3380CC4-5D6E-409C-BE32-E72D297353CC}">
                <c16:uniqueId val="{0000000D-F3FC-4657-8C8B-46CBFBA0AE82}"/>
              </c:ext>
            </c:extLst>
          </c:dPt>
          <c:dPt>
            <c:idx val="329"/>
            <c:marker>
              <c:symbol val="none"/>
            </c:marker>
            <c:bubble3D val="0"/>
            <c:spPr>
              <a:ln w="0" cap="rnd">
                <a:noFill/>
                <a:round/>
              </a:ln>
              <a:effectLst/>
            </c:spPr>
            <c:extLst>
              <c:ext xmlns:c16="http://schemas.microsoft.com/office/drawing/2014/chart" uri="{C3380CC4-5D6E-409C-BE32-E72D297353CC}">
                <c16:uniqueId val="{0000000F-F3FC-4657-8C8B-46CBFBA0AE82}"/>
              </c:ext>
            </c:extLst>
          </c:dPt>
          <c:dPt>
            <c:idx val="395"/>
            <c:marker>
              <c:symbol val="none"/>
            </c:marker>
            <c:bubble3D val="0"/>
            <c:spPr>
              <a:ln w="0" cap="rnd">
                <a:noFill/>
                <a:round/>
              </a:ln>
              <a:effectLst/>
            </c:spPr>
            <c:extLst>
              <c:ext xmlns:c16="http://schemas.microsoft.com/office/drawing/2014/chart" uri="{C3380CC4-5D6E-409C-BE32-E72D297353CC}">
                <c16:uniqueId val="{00000011-F3FC-4657-8C8B-46CBFBA0AE82}"/>
              </c:ext>
            </c:extLst>
          </c:dPt>
          <c:dPt>
            <c:idx val="461"/>
            <c:marker>
              <c:symbol val="none"/>
            </c:marker>
            <c:bubble3D val="0"/>
            <c:spPr>
              <a:ln w="0" cap="rnd">
                <a:noFill/>
                <a:round/>
              </a:ln>
              <a:effectLst/>
            </c:spPr>
            <c:extLst>
              <c:ext xmlns:c16="http://schemas.microsoft.com/office/drawing/2014/chart" uri="{C3380CC4-5D6E-409C-BE32-E72D297353CC}">
                <c16:uniqueId val="{00000013-F3FC-4657-8C8B-46CBFBA0AE82}"/>
              </c:ext>
            </c:extLst>
          </c:dPt>
          <c:dPt>
            <c:idx val="462"/>
            <c:marker>
              <c:symbol val="none"/>
            </c:marker>
            <c:bubble3D val="0"/>
            <c:spPr>
              <a:ln w="0" cap="rnd">
                <a:noFill/>
                <a:round/>
              </a:ln>
              <a:effectLst/>
            </c:spPr>
            <c:extLst>
              <c:ext xmlns:c16="http://schemas.microsoft.com/office/drawing/2014/chart" uri="{C3380CC4-5D6E-409C-BE32-E72D297353CC}">
                <c16:uniqueId val="{00000015-F3FC-4657-8C8B-46CBFBA0AE82}"/>
              </c:ext>
            </c:extLst>
          </c:dPt>
          <c:dPt>
            <c:idx val="463"/>
            <c:marker>
              <c:symbol val="none"/>
            </c:marker>
            <c:bubble3D val="0"/>
            <c:spPr>
              <a:ln w="0" cap="rnd">
                <a:noFill/>
                <a:round/>
              </a:ln>
              <a:effectLst/>
            </c:spPr>
            <c:extLst>
              <c:ext xmlns:c16="http://schemas.microsoft.com/office/drawing/2014/chart" uri="{C3380CC4-5D6E-409C-BE32-E72D297353CC}">
                <c16:uniqueId val="{00000017-F3FC-4657-8C8B-46CBFBA0AE82}"/>
              </c:ext>
            </c:extLst>
          </c:dPt>
          <c:dPt>
            <c:idx val="464"/>
            <c:marker>
              <c:symbol val="none"/>
            </c:marker>
            <c:bubble3D val="0"/>
            <c:spPr>
              <a:ln w="0" cap="rnd">
                <a:noFill/>
                <a:round/>
              </a:ln>
              <a:effectLst/>
            </c:spPr>
            <c:extLst>
              <c:ext xmlns:c16="http://schemas.microsoft.com/office/drawing/2014/chart" uri="{C3380CC4-5D6E-409C-BE32-E72D297353CC}">
                <c16:uniqueId val="{00000019-F3FC-4657-8C8B-46CBFBA0AE82}"/>
              </c:ext>
            </c:extLst>
          </c:dPt>
          <c:xVal>
            <c:numRef>
              <c:f>【付録】万華鏡!$E$8:$E$472</c:f>
              <c:numCache>
                <c:formatCode>General</c:formatCode>
                <c:ptCount val="465"/>
                <c:pt idx="0">
                  <c:v>-0.44776588765523484</c:v>
                </c:pt>
                <c:pt idx="1">
                  <c:v>0.8945340475530662</c:v>
                </c:pt>
                <c:pt idx="2">
                  <c:v>9.8883171167489306E-2</c:v>
                </c:pt>
                <c:pt idx="3">
                  <c:v>-0.32645274916838729</c:v>
                </c:pt>
                <c:pt idx="4">
                  <c:v>-0.28039235658114731</c:v>
                </c:pt>
                <c:pt idx="5">
                  <c:v>0.2076276185299919</c:v>
                </c:pt>
                <c:pt idx="6">
                  <c:v>-8.0933193534195147E-2</c:v>
                </c:pt>
                <c:pt idx="7">
                  <c:v>1.4007035460132096</c:v>
                </c:pt>
                <c:pt idx="8">
                  <c:v>1.1119869866823786</c:v>
                </c:pt>
                <c:pt idx="9">
                  <c:v>1.383894551421825</c:v>
                </c:pt>
                <c:pt idx="10">
                  <c:v>-1.2675494726039491</c:v>
                </c:pt>
                <c:pt idx="11">
                  <c:v>-0.53146993137881149</c:v>
                </c:pt>
                <c:pt idx="12">
                  <c:v>1.2960741088212875</c:v>
                </c:pt>
                <c:pt idx="13">
                  <c:v>-0.15569500590614893</c:v>
                </c:pt>
                <c:pt idx="14">
                  <c:v>-0.91696694297379544</c:v>
                </c:pt>
                <c:pt idx="15">
                  <c:v>0.75312305514434019</c:v>
                </c:pt>
                <c:pt idx="16">
                  <c:v>0.76041970301269435</c:v>
                </c:pt>
                <c:pt idx="17">
                  <c:v>-1.5622632547659304E-2</c:v>
                </c:pt>
                <c:pt idx="18">
                  <c:v>7.9283941174642547E-2</c:v>
                </c:pt>
                <c:pt idx="19">
                  <c:v>-0.39247908202064163</c:v>
                </c:pt>
                <c:pt idx="20">
                  <c:v>0.14422140089402424</c:v>
                </c:pt>
                <c:pt idx="21">
                  <c:v>-1.0884660345992443</c:v>
                </c:pt>
                <c:pt idx="22">
                  <c:v>-8.370404372357676E-2</c:v>
                </c:pt>
                <c:pt idx="23">
                  <c:v>0.40154006126822156</c:v>
                </c:pt>
                <c:pt idx="24">
                  <c:v>-0.25457817707363828</c:v>
                </c:pt>
                <c:pt idx="25">
                  <c:v>-0.59051419380540837</c:v>
                </c:pt>
                <c:pt idx="26">
                  <c:v>1.0335154117254877</c:v>
                </c:pt>
                <c:pt idx="27">
                  <c:v>0.55279208448270267</c:v>
                </c:pt>
                <c:pt idx="28">
                  <c:v>6.5310560986535843E-2</c:v>
                </c:pt>
                <c:pt idx="29">
                  <c:v>-1.3214196048385671</c:v>
                </c:pt>
                <c:pt idx="30">
                  <c:v>-1.5044660687030202</c:v>
                </c:pt>
                <c:pt idx="31">
                  <c:v>-1.2396731505278007</c:v>
                </c:pt>
                <c:pt idx="32">
                  <c:v>0.17908343800470472</c:v>
                </c:pt>
                <c:pt idx="33">
                  <c:v>0.44776588765523478</c:v>
                </c:pt>
                <c:pt idx="34">
                  <c:v>-0.89453404755306576</c:v>
                </c:pt>
                <c:pt idx="35">
                  <c:v>-9.8883171167489417E-2</c:v>
                </c:pt>
                <c:pt idx="36">
                  <c:v>0.32645274916838701</c:v>
                </c:pt>
                <c:pt idx="37">
                  <c:v>0.28039235658114775</c:v>
                </c:pt>
                <c:pt idx="38">
                  <c:v>-0.20762761852999156</c:v>
                </c:pt>
                <c:pt idx="39">
                  <c:v>8.0933193534195161E-2</c:v>
                </c:pt>
                <c:pt idx="40">
                  <c:v>-1.4007035460132098</c:v>
                </c:pt>
                <c:pt idx="41">
                  <c:v>-1.1119869866823791</c:v>
                </c:pt>
                <c:pt idx="42">
                  <c:v>-1.3838945514218253</c:v>
                </c:pt>
                <c:pt idx="43">
                  <c:v>1.2675494726039493</c:v>
                </c:pt>
                <c:pt idx="44">
                  <c:v>0.5314699313788116</c:v>
                </c:pt>
                <c:pt idx="45">
                  <c:v>-1.2960741088212875</c:v>
                </c:pt>
                <c:pt idx="46">
                  <c:v>0.15569500590614885</c:v>
                </c:pt>
                <c:pt idx="47">
                  <c:v>0.91696694297379544</c:v>
                </c:pt>
                <c:pt idx="48">
                  <c:v>-0.75312305514433997</c:v>
                </c:pt>
                <c:pt idx="49">
                  <c:v>-0.76041970301269435</c:v>
                </c:pt>
                <c:pt idx="50">
                  <c:v>1.5622632547659332E-2</c:v>
                </c:pt>
                <c:pt idx="51">
                  <c:v>-7.928394117464288E-2</c:v>
                </c:pt>
                <c:pt idx="52">
                  <c:v>0.39247908202064108</c:v>
                </c:pt>
                <c:pt idx="53">
                  <c:v>-0.14422140089402491</c:v>
                </c:pt>
                <c:pt idx="54">
                  <c:v>1.0884660345992447</c:v>
                </c:pt>
                <c:pt idx="55">
                  <c:v>8.3704043723576899E-2</c:v>
                </c:pt>
                <c:pt idx="56">
                  <c:v>-0.40154006126822206</c:v>
                </c:pt>
                <c:pt idx="57">
                  <c:v>0.25457817707363828</c:v>
                </c:pt>
                <c:pt idx="58">
                  <c:v>0.5905141938054087</c:v>
                </c:pt>
                <c:pt idx="59">
                  <c:v>-1.0335154117254879</c:v>
                </c:pt>
                <c:pt idx="60">
                  <c:v>-0.55279208448270301</c:v>
                </c:pt>
                <c:pt idx="61">
                  <c:v>-6.5310560986535829E-2</c:v>
                </c:pt>
                <c:pt idx="62">
                  <c:v>1.3214196048385669</c:v>
                </c:pt>
                <c:pt idx="63">
                  <c:v>1.5044660687030202</c:v>
                </c:pt>
                <c:pt idx="64">
                  <c:v>1.2396731505278002</c:v>
                </c:pt>
                <c:pt idx="65">
                  <c:v>-0.1790834380047045</c:v>
                </c:pt>
                <c:pt idx="66">
                  <c:v>-0.44776588765523473</c:v>
                </c:pt>
                <c:pt idx="67">
                  <c:v>1.5522341123447652</c:v>
                </c:pt>
                <c:pt idx="68">
                  <c:v>2.8945340475530661</c:v>
                </c:pt>
                <c:pt idx="69">
                  <c:v>2.0988831711674893</c:v>
                </c:pt>
                <c:pt idx="70">
                  <c:v>1.6735472508316127</c:v>
                </c:pt>
                <c:pt idx="71">
                  <c:v>1.7196076434188527</c:v>
                </c:pt>
                <c:pt idx="72">
                  <c:v>2.2076276185299921</c:v>
                </c:pt>
                <c:pt idx="73">
                  <c:v>1.9190668064658047</c:v>
                </c:pt>
                <c:pt idx="74">
                  <c:v>3.4007035460132098</c:v>
                </c:pt>
                <c:pt idx="75">
                  <c:v>3.1119869866823784</c:v>
                </c:pt>
                <c:pt idx="76">
                  <c:v>3.3838945514218253</c:v>
                </c:pt>
                <c:pt idx="77">
                  <c:v>0.73245052739605088</c:v>
                </c:pt>
                <c:pt idx="78">
                  <c:v>1.4685300686211886</c:v>
                </c:pt>
                <c:pt idx="79">
                  <c:v>3.2960741088212875</c:v>
                </c:pt>
                <c:pt idx="80">
                  <c:v>1.844304994093851</c:v>
                </c:pt>
                <c:pt idx="81">
                  <c:v>1.0830330570262046</c:v>
                </c:pt>
                <c:pt idx="82">
                  <c:v>2.7531230551443402</c:v>
                </c:pt>
                <c:pt idx="83">
                  <c:v>2.7604197030126945</c:v>
                </c:pt>
                <c:pt idx="84">
                  <c:v>1.9843773674523406</c:v>
                </c:pt>
                <c:pt idx="85">
                  <c:v>2.0792839411746424</c:v>
                </c:pt>
                <c:pt idx="86">
                  <c:v>1.6075209179793584</c:v>
                </c:pt>
                <c:pt idx="87">
                  <c:v>2.1442214008940241</c:v>
                </c:pt>
                <c:pt idx="88">
                  <c:v>0.91153396540075571</c:v>
                </c:pt>
                <c:pt idx="89">
                  <c:v>1.9162959562764232</c:v>
                </c:pt>
                <c:pt idx="90">
                  <c:v>2.4015400612682214</c:v>
                </c:pt>
                <c:pt idx="91">
                  <c:v>1.7454218229263616</c:v>
                </c:pt>
                <c:pt idx="92">
                  <c:v>1.4094858061945916</c:v>
                </c:pt>
                <c:pt idx="93">
                  <c:v>3.0335154117254879</c:v>
                </c:pt>
                <c:pt idx="94">
                  <c:v>2.5527920844827028</c:v>
                </c:pt>
                <c:pt idx="95">
                  <c:v>2.0653105609865356</c:v>
                </c:pt>
                <c:pt idx="96">
                  <c:v>0.67858039516143287</c:v>
                </c:pt>
                <c:pt idx="97">
                  <c:v>0.49553393129697976</c:v>
                </c:pt>
                <c:pt idx="98">
                  <c:v>0.76032684947219931</c:v>
                </c:pt>
                <c:pt idx="99">
                  <c:v>2.1790834380047048</c:v>
                </c:pt>
                <c:pt idx="100">
                  <c:v>2.4477658876552346</c:v>
                </c:pt>
                <c:pt idx="101">
                  <c:v>1.1054659524469344</c:v>
                </c:pt>
                <c:pt idx="102">
                  <c:v>1.9011168288325107</c:v>
                </c:pt>
                <c:pt idx="103">
                  <c:v>2.3264527491683871</c:v>
                </c:pt>
                <c:pt idx="104">
                  <c:v>2.2803923565811477</c:v>
                </c:pt>
                <c:pt idx="105">
                  <c:v>1.7923723814700083</c:v>
                </c:pt>
                <c:pt idx="106">
                  <c:v>2.0809331935341953</c:v>
                </c:pt>
                <c:pt idx="107">
                  <c:v>0.59929645398679021</c:v>
                </c:pt>
                <c:pt idx="108">
                  <c:v>0.88801301331762095</c:v>
                </c:pt>
                <c:pt idx="109">
                  <c:v>0.61610544857817473</c:v>
                </c:pt>
                <c:pt idx="110">
                  <c:v>3.2675494726039496</c:v>
                </c:pt>
                <c:pt idx="111">
                  <c:v>2.5314699313788118</c:v>
                </c:pt>
                <c:pt idx="112">
                  <c:v>0.70392589117871252</c:v>
                </c:pt>
                <c:pt idx="113">
                  <c:v>2.155695005906149</c:v>
                </c:pt>
                <c:pt idx="114">
                  <c:v>2.9169669429737954</c:v>
                </c:pt>
                <c:pt idx="115">
                  <c:v>1.24687694485566</c:v>
                </c:pt>
                <c:pt idx="116">
                  <c:v>1.2395802969873055</c:v>
                </c:pt>
                <c:pt idx="117">
                  <c:v>2.0156226325476592</c:v>
                </c:pt>
                <c:pt idx="118">
                  <c:v>1.9207160588253571</c:v>
                </c:pt>
                <c:pt idx="119">
                  <c:v>2.3924790820206412</c:v>
                </c:pt>
                <c:pt idx="120">
                  <c:v>1.855778599105975</c:v>
                </c:pt>
                <c:pt idx="121">
                  <c:v>3.0884660345992447</c:v>
                </c:pt>
                <c:pt idx="122">
                  <c:v>2.0837040437235768</c:v>
                </c:pt>
                <c:pt idx="123">
                  <c:v>1.5984599387317779</c:v>
                </c:pt>
                <c:pt idx="124">
                  <c:v>2.2545781770736384</c:v>
                </c:pt>
                <c:pt idx="125">
                  <c:v>2.5905141938054088</c:v>
                </c:pt>
                <c:pt idx="126">
                  <c:v>0.96648458827451211</c:v>
                </c:pt>
                <c:pt idx="127">
                  <c:v>1.447207915517297</c:v>
                </c:pt>
                <c:pt idx="128">
                  <c:v>1.9346894390134641</c:v>
                </c:pt>
                <c:pt idx="129">
                  <c:v>3.3214196048385669</c:v>
                </c:pt>
                <c:pt idx="130">
                  <c:v>3.50446606870302</c:v>
                </c:pt>
                <c:pt idx="131">
                  <c:v>3.2396731505278002</c:v>
                </c:pt>
                <c:pt idx="132">
                  <c:v>1.8209165619952956</c:v>
                </c:pt>
                <c:pt idx="133">
                  <c:v>0.55223411234476538</c:v>
                </c:pt>
                <c:pt idx="134">
                  <c:v>1.8945340475530665</c:v>
                </c:pt>
                <c:pt idx="135">
                  <c:v>1.0988831711674896</c:v>
                </c:pt>
                <c:pt idx="136">
                  <c:v>0.67354725083161293</c:v>
                </c:pt>
                <c:pt idx="137">
                  <c:v>0.71960764341885297</c:v>
                </c:pt>
                <c:pt idx="138">
                  <c:v>1.2076276185299921</c:v>
                </c:pt>
                <c:pt idx="139">
                  <c:v>0.91906680646580508</c:v>
                </c:pt>
                <c:pt idx="140">
                  <c:v>2.4007035460132098</c:v>
                </c:pt>
                <c:pt idx="141">
                  <c:v>2.1119869866823788</c:v>
                </c:pt>
                <c:pt idx="142">
                  <c:v>2.3838945514218253</c:v>
                </c:pt>
                <c:pt idx="143">
                  <c:v>-0.2675494726039489</c:v>
                </c:pt>
                <c:pt idx="144">
                  <c:v>0.46853006862118873</c:v>
                </c:pt>
                <c:pt idx="145">
                  <c:v>2.2960741088212879</c:v>
                </c:pt>
                <c:pt idx="146">
                  <c:v>0.84430499409385129</c:v>
                </c:pt>
                <c:pt idx="147">
                  <c:v>8.3033057026204782E-2</c:v>
                </c:pt>
                <c:pt idx="148">
                  <c:v>1.7531230551443404</c:v>
                </c:pt>
                <c:pt idx="149">
                  <c:v>1.7604197030126945</c:v>
                </c:pt>
                <c:pt idx="150">
                  <c:v>0.98437736745234095</c:v>
                </c:pt>
                <c:pt idx="151">
                  <c:v>1.0792839411746429</c:v>
                </c:pt>
                <c:pt idx="152">
                  <c:v>0.60752091797935859</c:v>
                </c:pt>
                <c:pt idx="153">
                  <c:v>1.1442214008940246</c:v>
                </c:pt>
                <c:pt idx="154">
                  <c:v>-8.846603459924407E-2</c:v>
                </c:pt>
                <c:pt idx="155">
                  <c:v>0.91629595627642346</c:v>
                </c:pt>
                <c:pt idx="156">
                  <c:v>1.4015400612682218</c:v>
                </c:pt>
                <c:pt idx="157">
                  <c:v>0.74542182292636194</c:v>
                </c:pt>
                <c:pt idx="158">
                  <c:v>0.40948580619459185</c:v>
                </c:pt>
                <c:pt idx="159">
                  <c:v>2.0335154117254879</c:v>
                </c:pt>
                <c:pt idx="160">
                  <c:v>1.5527920844827028</c:v>
                </c:pt>
                <c:pt idx="161">
                  <c:v>1.0653105609865361</c:v>
                </c:pt>
                <c:pt idx="162">
                  <c:v>-0.32141960483856691</c:v>
                </c:pt>
                <c:pt idx="163">
                  <c:v>-0.50446606870302002</c:v>
                </c:pt>
                <c:pt idx="164">
                  <c:v>-0.23967315052780047</c:v>
                </c:pt>
                <c:pt idx="165">
                  <c:v>1.1790834380047048</c:v>
                </c:pt>
                <c:pt idx="166">
                  <c:v>1.4477658876552351</c:v>
                </c:pt>
                <c:pt idx="167">
                  <c:v>0.10546595244693446</c:v>
                </c:pt>
                <c:pt idx="168">
                  <c:v>0.90111682883251076</c:v>
                </c:pt>
                <c:pt idx="169">
                  <c:v>1.3264527491683873</c:v>
                </c:pt>
                <c:pt idx="170">
                  <c:v>1.2803923565811479</c:v>
                </c:pt>
                <c:pt idx="171">
                  <c:v>0.79237238147000866</c:v>
                </c:pt>
                <c:pt idx="172">
                  <c:v>1.0809331935341955</c:v>
                </c:pt>
                <c:pt idx="173">
                  <c:v>-0.40070354601320957</c:v>
                </c:pt>
                <c:pt idx="174">
                  <c:v>-0.11198698668237883</c:v>
                </c:pt>
                <c:pt idx="175">
                  <c:v>-0.38389455142182505</c:v>
                </c:pt>
                <c:pt idx="176">
                  <c:v>2.2675494726039496</c:v>
                </c:pt>
                <c:pt idx="177">
                  <c:v>1.5314699313788118</c:v>
                </c:pt>
                <c:pt idx="178">
                  <c:v>-0.29607410882128726</c:v>
                </c:pt>
                <c:pt idx="179">
                  <c:v>1.155695005906149</c:v>
                </c:pt>
                <c:pt idx="180">
                  <c:v>1.9169669429737957</c:v>
                </c:pt>
                <c:pt idx="181">
                  <c:v>0.24687694485566025</c:v>
                </c:pt>
                <c:pt idx="182">
                  <c:v>0.23958029698730587</c:v>
                </c:pt>
                <c:pt idx="183">
                  <c:v>1.0156226325476596</c:v>
                </c:pt>
                <c:pt idx="184">
                  <c:v>0.92071605882535734</c:v>
                </c:pt>
                <c:pt idx="185">
                  <c:v>1.3924790820206412</c:v>
                </c:pt>
                <c:pt idx="186">
                  <c:v>0.85577859910597531</c:v>
                </c:pt>
                <c:pt idx="187">
                  <c:v>2.0884660345992447</c:v>
                </c:pt>
                <c:pt idx="188">
                  <c:v>1.0837040437235772</c:v>
                </c:pt>
                <c:pt idx="189">
                  <c:v>0.59845993873177816</c:v>
                </c:pt>
                <c:pt idx="190">
                  <c:v>1.2545781770736384</c:v>
                </c:pt>
                <c:pt idx="191">
                  <c:v>1.5905141938054088</c:v>
                </c:pt>
                <c:pt idx="192">
                  <c:v>-3.3515411725487665E-2</c:v>
                </c:pt>
                <c:pt idx="193">
                  <c:v>0.44720791551729722</c:v>
                </c:pt>
                <c:pt idx="194">
                  <c:v>0.93468943901346435</c:v>
                </c:pt>
                <c:pt idx="195">
                  <c:v>2.3214196048385674</c:v>
                </c:pt>
                <c:pt idx="196">
                  <c:v>2.5044660687030205</c:v>
                </c:pt>
                <c:pt idx="197">
                  <c:v>2.2396731505278007</c:v>
                </c:pt>
                <c:pt idx="198">
                  <c:v>0.82091656199529572</c:v>
                </c:pt>
                <c:pt idx="199">
                  <c:v>-1.4477658876552344</c:v>
                </c:pt>
                <c:pt idx="200">
                  <c:v>-0.10546595244693335</c:v>
                </c:pt>
                <c:pt idx="201">
                  <c:v>-0.90111682883251021</c:v>
                </c:pt>
                <c:pt idx="202">
                  <c:v>-1.3264527491683868</c:v>
                </c:pt>
                <c:pt idx="203">
                  <c:v>-1.2803923565811468</c:v>
                </c:pt>
                <c:pt idx="204">
                  <c:v>-0.79237238147000766</c:v>
                </c:pt>
                <c:pt idx="205">
                  <c:v>-1.0809331935341948</c:v>
                </c:pt>
                <c:pt idx="206">
                  <c:v>0.40070354601321001</c:v>
                </c:pt>
                <c:pt idx="207">
                  <c:v>0.11198698668237905</c:v>
                </c:pt>
                <c:pt idx="208">
                  <c:v>0.38389455142182549</c:v>
                </c:pt>
                <c:pt idx="209">
                  <c:v>-2.2675494726039487</c:v>
                </c:pt>
                <c:pt idx="210">
                  <c:v>-1.5314699313788109</c:v>
                </c:pt>
                <c:pt idx="211">
                  <c:v>0.29607410882128793</c:v>
                </c:pt>
                <c:pt idx="212">
                  <c:v>-1.1556950059061486</c:v>
                </c:pt>
                <c:pt idx="213">
                  <c:v>-1.916966942973795</c:v>
                </c:pt>
                <c:pt idx="214">
                  <c:v>-0.24687694485565936</c:v>
                </c:pt>
                <c:pt idx="215">
                  <c:v>-0.23958029698730521</c:v>
                </c:pt>
                <c:pt idx="216">
                  <c:v>-1.0156226325476589</c:v>
                </c:pt>
                <c:pt idx="217">
                  <c:v>-0.92071605882535701</c:v>
                </c:pt>
                <c:pt idx="218">
                  <c:v>-1.3924790820206412</c:v>
                </c:pt>
                <c:pt idx="219">
                  <c:v>-0.85577859910597531</c:v>
                </c:pt>
                <c:pt idx="220">
                  <c:v>-2.0884660345992438</c:v>
                </c:pt>
                <c:pt idx="221">
                  <c:v>-1.0837040437235763</c:v>
                </c:pt>
                <c:pt idx="222">
                  <c:v>-0.59845993873177794</c:v>
                </c:pt>
                <c:pt idx="223">
                  <c:v>-1.2545781770736379</c:v>
                </c:pt>
                <c:pt idx="224">
                  <c:v>-1.5905141938054079</c:v>
                </c:pt>
                <c:pt idx="225">
                  <c:v>3.3515411725488109E-2</c:v>
                </c:pt>
                <c:pt idx="226">
                  <c:v>-0.44720791551729688</c:v>
                </c:pt>
                <c:pt idx="227">
                  <c:v>-0.93468943901346369</c:v>
                </c:pt>
                <c:pt idx="228">
                  <c:v>-2.3214196048385665</c:v>
                </c:pt>
                <c:pt idx="229">
                  <c:v>-2.50446606870302</c:v>
                </c:pt>
                <c:pt idx="230">
                  <c:v>-2.2396731505278002</c:v>
                </c:pt>
                <c:pt idx="231">
                  <c:v>-0.82091656199529484</c:v>
                </c:pt>
                <c:pt idx="232">
                  <c:v>-0.55223411234476472</c:v>
                </c:pt>
                <c:pt idx="233">
                  <c:v>-1.8945340475530652</c:v>
                </c:pt>
                <c:pt idx="234">
                  <c:v>-1.0988831711674889</c:v>
                </c:pt>
                <c:pt idx="235">
                  <c:v>-0.67354725083161249</c:v>
                </c:pt>
                <c:pt idx="236">
                  <c:v>-0.71960764341885186</c:v>
                </c:pt>
                <c:pt idx="237">
                  <c:v>-1.2076276185299912</c:v>
                </c:pt>
                <c:pt idx="238">
                  <c:v>-0.91906680646580441</c:v>
                </c:pt>
                <c:pt idx="239">
                  <c:v>-2.4007035460132093</c:v>
                </c:pt>
                <c:pt idx="240">
                  <c:v>-2.1119869866823784</c:v>
                </c:pt>
                <c:pt idx="241">
                  <c:v>-2.3838945514218248</c:v>
                </c:pt>
                <c:pt idx="242">
                  <c:v>0.26754947260394979</c:v>
                </c:pt>
                <c:pt idx="243">
                  <c:v>-0.46853006862118796</c:v>
                </c:pt>
                <c:pt idx="244">
                  <c:v>-2.296074108821287</c:v>
                </c:pt>
                <c:pt idx="245">
                  <c:v>-0.84430499409385074</c:v>
                </c:pt>
                <c:pt idx="246">
                  <c:v>-8.3033057026204116E-2</c:v>
                </c:pt>
                <c:pt idx="247">
                  <c:v>-1.7531230551443395</c:v>
                </c:pt>
                <c:pt idx="248">
                  <c:v>-1.760419703012694</c:v>
                </c:pt>
                <c:pt idx="249">
                  <c:v>-0.98437736745234017</c:v>
                </c:pt>
                <c:pt idx="250">
                  <c:v>-1.0792839411746424</c:v>
                </c:pt>
                <c:pt idx="251">
                  <c:v>-0.60752091797935848</c:v>
                </c:pt>
                <c:pt idx="252">
                  <c:v>-1.1442214008940246</c:v>
                </c:pt>
                <c:pt idx="253">
                  <c:v>8.846603459924518E-2</c:v>
                </c:pt>
                <c:pt idx="254">
                  <c:v>-0.91629595627642269</c:v>
                </c:pt>
                <c:pt idx="255">
                  <c:v>-1.4015400612682216</c:v>
                </c:pt>
                <c:pt idx="256">
                  <c:v>-0.74542182292636128</c:v>
                </c:pt>
                <c:pt idx="257">
                  <c:v>-0.40948580619459085</c:v>
                </c:pt>
                <c:pt idx="258">
                  <c:v>-2.0335154117254874</c:v>
                </c:pt>
                <c:pt idx="259">
                  <c:v>-1.5527920844827026</c:v>
                </c:pt>
                <c:pt idx="260">
                  <c:v>-1.0653105609865354</c:v>
                </c:pt>
                <c:pt idx="261">
                  <c:v>0.32141960483856735</c:v>
                </c:pt>
                <c:pt idx="262">
                  <c:v>0.50446606870302069</c:v>
                </c:pt>
                <c:pt idx="263">
                  <c:v>-2.4477658876552351</c:v>
                </c:pt>
                <c:pt idx="264">
                  <c:v>-1.1054659524469339</c:v>
                </c:pt>
                <c:pt idx="265">
                  <c:v>-1.9011168288325107</c:v>
                </c:pt>
                <c:pt idx="266">
                  <c:v>-2.3264527491683875</c:v>
                </c:pt>
                <c:pt idx="267">
                  <c:v>-2.2803923565811473</c:v>
                </c:pt>
                <c:pt idx="268">
                  <c:v>-1.7923723814700081</c:v>
                </c:pt>
                <c:pt idx="269">
                  <c:v>-2.0809331935341953</c:v>
                </c:pt>
                <c:pt idx="270">
                  <c:v>-0.59929645398679043</c:v>
                </c:pt>
                <c:pt idx="271">
                  <c:v>-0.88801301331762139</c:v>
                </c:pt>
                <c:pt idx="272">
                  <c:v>-0.61610544857817495</c:v>
                </c:pt>
                <c:pt idx="273">
                  <c:v>-3.2675494726039491</c:v>
                </c:pt>
                <c:pt idx="274">
                  <c:v>-2.5314699313788114</c:v>
                </c:pt>
                <c:pt idx="275">
                  <c:v>-0.70392589117871252</c:v>
                </c:pt>
                <c:pt idx="276">
                  <c:v>-2.155695005906149</c:v>
                </c:pt>
                <c:pt idx="277">
                  <c:v>-2.9169669429737954</c:v>
                </c:pt>
                <c:pt idx="278">
                  <c:v>-1.2468769448556598</c:v>
                </c:pt>
                <c:pt idx="279">
                  <c:v>-1.2395802969873055</c:v>
                </c:pt>
                <c:pt idx="280">
                  <c:v>-2.0156226325476592</c:v>
                </c:pt>
                <c:pt idx="281">
                  <c:v>-1.9207160588253576</c:v>
                </c:pt>
                <c:pt idx="282">
                  <c:v>-2.3924790820206416</c:v>
                </c:pt>
                <c:pt idx="283">
                  <c:v>-1.8557785991059759</c:v>
                </c:pt>
                <c:pt idx="284">
                  <c:v>-3.0884660345992443</c:v>
                </c:pt>
                <c:pt idx="285">
                  <c:v>-2.0837040437235768</c:v>
                </c:pt>
                <c:pt idx="286">
                  <c:v>-1.5984599387317784</c:v>
                </c:pt>
                <c:pt idx="287">
                  <c:v>-2.2545781770736384</c:v>
                </c:pt>
                <c:pt idx="288">
                  <c:v>-2.5905141938054084</c:v>
                </c:pt>
                <c:pt idx="289">
                  <c:v>-0.96648458827451234</c:v>
                </c:pt>
                <c:pt idx="290">
                  <c:v>-1.4472079155172972</c:v>
                </c:pt>
                <c:pt idx="291">
                  <c:v>-1.9346894390134641</c:v>
                </c:pt>
                <c:pt idx="292">
                  <c:v>-3.3214196048385674</c:v>
                </c:pt>
                <c:pt idx="293">
                  <c:v>-3.50446606870302</c:v>
                </c:pt>
                <c:pt idx="294">
                  <c:v>-3.2396731505278007</c:v>
                </c:pt>
                <c:pt idx="295">
                  <c:v>-1.8209165619952952</c:v>
                </c:pt>
                <c:pt idx="296">
                  <c:v>-1.5522341123447652</c:v>
                </c:pt>
                <c:pt idx="297">
                  <c:v>-2.8945340475530656</c:v>
                </c:pt>
                <c:pt idx="298">
                  <c:v>-2.0988831711674893</c:v>
                </c:pt>
                <c:pt idx="299">
                  <c:v>-1.6735472508316129</c:v>
                </c:pt>
                <c:pt idx="300">
                  <c:v>-1.7196076434188523</c:v>
                </c:pt>
                <c:pt idx="301">
                  <c:v>-2.2076276185299917</c:v>
                </c:pt>
                <c:pt idx="302">
                  <c:v>-1.9190668064658047</c:v>
                </c:pt>
                <c:pt idx="303">
                  <c:v>-3.4007035460132098</c:v>
                </c:pt>
                <c:pt idx="304">
                  <c:v>-3.1119869866823793</c:v>
                </c:pt>
                <c:pt idx="305">
                  <c:v>-3.3838945514218253</c:v>
                </c:pt>
                <c:pt idx="306">
                  <c:v>-0.73245052739605065</c:v>
                </c:pt>
                <c:pt idx="307">
                  <c:v>-1.4685300686211884</c:v>
                </c:pt>
                <c:pt idx="308">
                  <c:v>-3.2960741088212875</c:v>
                </c:pt>
                <c:pt idx="309">
                  <c:v>-1.8443049940938512</c:v>
                </c:pt>
                <c:pt idx="310">
                  <c:v>-1.0830330570262046</c:v>
                </c:pt>
                <c:pt idx="311">
                  <c:v>-2.7531230551443402</c:v>
                </c:pt>
                <c:pt idx="312">
                  <c:v>-2.7604197030126945</c:v>
                </c:pt>
                <c:pt idx="313">
                  <c:v>-1.9843773674523406</c:v>
                </c:pt>
                <c:pt idx="314">
                  <c:v>-2.0792839411746429</c:v>
                </c:pt>
                <c:pt idx="315">
                  <c:v>-1.6075209179793588</c:v>
                </c:pt>
                <c:pt idx="316">
                  <c:v>-2.144221400894025</c:v>
                </c:pt>
                <c:pt idx="317">
                  <c:v>-0.91153396540075526</c:v>
                </c:pt>
                <c:pt idx="318">
                  <c:v>-1.916295956276423</c:v>
                </c:pt>
                <c:pt idx="319">
                  <c:v>-2.4015400612682223</c:v>
                </c:pt>
                <c:pt idx="320">
                  <c:v>-1.7454218229263616</c:v>
                </c:pt>
                <c:pt idx="321">
                  <c:v>-1.4094858061945912</c:v>
                </c:pt>
                <c:pt idx="322">
                  <c:v>-3.0335154117254879</c:v>
                </c:pt>
                <c:pt idx="323">
                  <c:v>-2.5527920844827028</c:v>
                </c:pt>
                <c:pt idx="324">
                  <c:v>-2.0653105609865356</c:v>
                </c:pt>
                <c:pt idx="325">
                  <c:v>-0.67858039516143309</c:v>
                </c:pt>
                <c:pt idx="326">
                  <c:v>-0.49553393129697976</c:v>
                </c:pt>
                <c:pt idx="327">
                  <c:v>-0.76032684947219975</c:v>
                </c:pt>
                <c:pt idx="328">
                  <c:v>-2.1790834380047044</c:v>
                </c:pt>
                <c:pt idx="329">
                  <c:v>-1.4477658876552357</c:v>
                </c:pt>
                <c:pt idx="330">
                  <c:v>-0.10546595244693469</c:v>
                </c:pt>
                <c:pt idx="331">
                  <c:v>-0.90111682883251154</c:v>
                </c:pt>
                <c:pt idx="332">
                  <c:v>-1.3264527491683882</c:v>
                </c:pt>
                <c:pt idx="333">
                  <c:v>-1.2803923565811481</c:v>
                </c:pt>
                <c:pt idx="334">
                  <c:v>-0.79237238147000899</c:v>
                </c:pt>
                <c:pt idx="335">
                  <c:v>-1.0809331935341961</c:v>
                </c:pt>
                <c:pt idx="336">
                  <c:v>0.40070354601320868</c:v>
                </c:pt>
                <c:pt idx="337">
                  <c:v>0.11198698668237772</c:v>
                </c:pt>
                <c:pt idx="338">
                  <c:v>0.38389455142182416</c:v>
                </c:pt>
                <c:pt idx="339">
                  <c:v>-2.26754947260395</c:v>
                </c:pt>
                <c:pt idx="340">
                  <c:v>-1.5314699313788123</c:v>
                </c:pt>
                <c:pt idx="341">
                  <c:v>0.2960741088212866</c:v>
                </c:pt>
                <c:pt idx="342">
                  <c:v>-1.1556950059061499</c:v>
                </c:pt>
                <c:pt idx="343">
                  <c:v>-1.9169669429737963</c:v>
                </c:pt>
                <c:pt idx="344">
                  <c:v>-0.2468769448556607</c:v>
                </c:pt>
                <c:pt idx="345">
                  <c:v>-0.23958029698730654</c:v>
                </c:pt>
                <c:pt idx="346">
                  <c:v>-1.0156226325476603</c:v>
                </c:pt>
                <c:pt idx="347">
                  <c:v>-0.92071605882535834</c:v>
                </c:pt>
                <c:pt idx="348">
                  <c:v>-1.3924790820206425</c:v>
                </c:pt>
                <c:pt idx="349">
                  <c:v>-0.85577859910597665</c:v>
                </c:pt>
                <c:pt idx="350">
                  <c:v>-2.0884660345992452</c:v>
                </c:pt>
                <c:pt idx="351">
                  <c:v>-1.0837040437235776</c:v>
                </c:pt>
                <c:pt idx="352">
                  <c:v>-0.59845993873177927</c:v>
                </c:pt>
                <c:pt idx="353">
                  <c:v>-1.2545781770736393</c:v>
                </c:pt>
                <c:pt idx="354">
                  <c:v>-1.5905141938054093</c:v>
                </c:pt>
                <c:pt idx="355">
                  <c:v>3.3515411725486777E-2</c:v>
                </c:pt>
                <c:pt idx="356">
                  <c:v>-0.44720791551729822</c:v>
                </c:pt>
                <c:pt idx="357">
                  <c:v>-0.93468943901346502</c:v>
                </c:pt>
                <c:pt idx="358">
                  <c:v>-2.3214196048385682</c:v>
                </c:pt>
                <c:pt idx="359">
                  <c:v>-2.5044660687030209</c:v>
                </c:pt>
                <c:pt idx="360">
                  <c:v>-2.2396731505278016</c:v>
                </c:pt>
                <c:pt idx="361">
                  <c:v>-0.82091656199529617</c:v>
                </c:pt>
                <c:pt idx="362">
                  <c:v>-0.55223411234476605</c:v>
                </c:pt>
                <c:pt idx="363">
                  <c:v>-1.8945340475530665</c:v>
                </c:pt>
                <c:pt idx="364">
                  <c:v>-1.0988831711674902</c:v>
                </c:pt>
                <c:pt idx="365">
                  <c:v>-0.67354725083161382</c:v>
                </c:pt>
                <c:pt idx="366">
                  <c:v>-0.71960764341885319</c:v>
                </c:pt>
                <c:pt idx="367">
                  <c:v>-1.2076276185299926</c:v>
                </c:pt>
                <c:pt idx="368">
                  <c:v>-0.91906680646580574</c:v>
                </c:pt>
                <c:pt idx="369">
                  <c:v>-2.4007035460132107</c:v>
                </c:pt>
                <c:pt idx="370">
                  <c:v>-2.1119869866823802</c:v>
                </c:pt>
                <c:pt idx="371">
                  <c:v>-2.3838945514218262</c:v>
                </c:pt>
                <c:pt idx="372">
                  <c:v>0.26754947260394846</c:v>
                </c:pt>
                <c:pt idx="373">
                  <c:v>-0.46853006862118929</c:v>
                </c:pt>
                <c:pt idx="374">
                  <c:v>-2.2960741088212884</c:v>
                </c:pt>
                <c:pt idx="375">
                  <c:v>-0.84430499409385207</c:v>
                </c:pt>
                <c:pt idx="376">
                  <c:v>-8.3033057026205448E-2</c:v>
                </c:pt>
                <c:pt idx="377">
                  <c:v>-1.7531230551443409</c:v>
                </c:pt>
                <c:pt idx="378">
                  <c:v>-1.7604197030126953</c:v>
                </c:pt>
                <c:pt idx="379">
                  <c:v>-0.9843773674523415</c:v>
                </c:pt>
                <c:pt idx="380">
                  <c:v>-1.0792839411746438</c:v>
                </c:pt>
                <c:pt idx="381">
                  <c:v>-0.60752091797935981</c:v>
                </c:pt>
                <c:pt idx="382">
                  <c:v>-1.1442214008940259</c:v>
                </c:pt>
                <c:pt idx="383">
                  <c:v>8.8466034599243848E-2</c:v>
                </c:pt>
                <c:pt idx="384">
                  <c:v>-0.91629595627642402</c:v>
                </c:pt>
                <c:pt idx="385">
                  <c:v>-1.4015400612682229</c:v>
                </c:pt>
                <c:pt idx="386">
                  <c:v>-0.74542182292636261</c:v>
                </c:pt>
                <c:pt idx="387">
                  <c:v>-0.40948580619459218</c:v>
                </c:pt>
                <c:pt idx="388">
                  <c:v>-2.0335154117254888</c:v>
                </c:pt>
                <c:pt idx="389">
                  <c:v>-1.5527920844827039</c:v>
                </c:pt>
                <c:pt idx="390">
                  <c:v>-1.0653105609865368</c:v>
                </c:pt>
                <c:pt idx="391">
                  <c:v>0.32141960483856602</c:v>
                </c:pt>
                <c:pt idx="392">
                  <c:v>0.50446606870301935</c:v>
                </c:pt>
                <c:pt idx="393">
                  <c:v>0.23967315052779936</c:v>
                </c:pt>
                <c:pt idx="394">
                  <c:v>-1.1790834380047053</c:v>
                </c:pt>
                <c:pt idx="395">
                  <c:v>0.55223411234476538</c:v>
                </c:pt>
                <c:pt idx="396">
                  <c:v>1.8945340475530665</c:v>
                </c:pt>
                <c:pt idx="397">
                  <c:v>1.0988831711674896</c:v>
                </c:pt>
                <c:pt idx="398">
                  <c:v>0.67354725083161293</c:v>
                </c:pt>
                <c:pt idx="399">
                  <c:v>0.71960764341885297</c:v>
                </c:pt>
                <c:pt idx="400">
                  <c:v>1.2076276185299921</c:v>
                </c:pt>
                <c:pt idx="401">
                  <c:v>0.91906680646580508</c:v>
                </c:pt>
                <c:pt idx="402">
                  <c:v>2.4007035460132098</c:v>
                </c:pt>
                <c:pt idx="403">
                  <c:v>2.1119869866823788</c:v>
                </c:pt>
                <c:pt idx="404">
                  <c:v>2.3838945514218253</c:v>
                </c:pt>
                <c:pt idx="405">
                  <c:v>-0.2675494726039489</c:v>
                </c:pt>
                <c:pt idx="406">
                  <c:v>0.46853006862118873</c:v>
                </c:pt>
                <c:pt idx="407">
                  <c:v>2.2960741088212879</c:v>
                </c:pt>
                <c:pt idx="408">
                  <c:v>0.84430499409385129</c:v>
                </c:pt>
                <c:pt idx="409">
                  <c:v>8.3033057026204782E-2</c:v>
                </c:pt>
                <c:pt idx="410">
                  <c:v>1.7531230551443404</c:v>
                </c:pt>
                <c:pt idx="411">
                  <c:v>1.7604197030126945</c:v>
                </c:pt>
                <c:pt idx="412">
                  <c:v>0.98437736745234095</c:v>
                </c:pt>
                <c:pt idx="413">
                  <c:v>1.0792839411746429</c:v>
                </c:pt>
                <c:pt idx="414">
                  <c:v>0.60752091797935859</c:v>
                </c:pt>
                <c:pt idx="415">
                  <c:v>1.1442214008940246</c:v>
                </c:pt>
                <c:pt idx="416">
                  <c:v>-8.846603459924407E-2</c:v>
                </c:pt>
                <c:pt idx="417">
                  <c:v>0.91629595627642346</c:v>
                </c:pt>
                <c:pt idx="418">
                  <c:v>1.4015400612682218</c:v>
                </c:pt>
                <c:pt idx="419">
                  <c:v>0.74542182292636194</c:v>
                </c:pt>
                <c:pt idx="420">
                  <c:v>0.40948580619459185</c:v>
                </c:pt>
                <c:pt idx="421">
                  <c:v>2.0335154117254879</c:v>
                </c:pt>
                <c:pt idx="422">
                  <c:v>1.5527920844827028</c:v>
                </c:pt>
                <c:pt idx="423">
                  <c:v>1.0653105609865361</c:v>
                </c:pt>
                <c:pt idx="424">
                  <c:v>-0.32141960483856691</c:v>
                </c:pt>
                <c:pt idx="425">
                  <c:v>-0.50446606870302002</c:v>
                </c:pt>
                <c:pt idx="426">
                  <c:v>-0.23967315052780047</c:v>
                </c:pt>
                <c:pt idx="427">
                  <c:v>1.1790834380047048</c:v>
                </c:pt>
                <c:pt idx="428">
                  <c:v>1.4477658876552351</c:v>
                </c:pt>
                <c:pt idx="429">
                  <c:v>0.10546595244693446</c:v>
                </c:pt>
                <c:pt idx="430">
                  <c:v>0.90111682883251076</c:v>
                </c:pt>
                <c:pt idx="431">
                  <c:v>1.3264527491683873</c:v>
                </c:pt>
                <c:pt idx="432">
                  <c:v>1.2803923565811479</c:v>
                </c:pt>
                <c:pt idx="433">
                  <c:v>0.79237238147000866</c:v>
                </c:pt>
                <c:pt idx="434">
                  <c:v>1.0809331935341955</c:v>
                </c:pt>
                <c:pt idx="435">
                  <c:v>-0.40070354601320957</c:v>
                </c:pt>
                <c:pt idx="436">
                  <c:v>-0.11198698668237883</c:v>
                </c:pt>
                <c:pt idx="437">
                  <c:v>-0.38389455142182505</c:v>
                </c:pt>
                <c:pt idx="438">
                  <c:v>2.2675494726039496</c:v>
                </c:pt>
                <c:pt idx="439">
                  <c:v>1.5314699313788118</c:v>
                </c:pt>
                <c:pt idx="440">
                  <c:v>-0.29607410882128726</c:v>
                </c:pt>
                <c:pt idx="441">
                  <c:v>1.155695005906149</c:v>
                </c:pt>
                <c:pt idx="442">
                  <c:v>1.9169669429737957</c:v>
                </c:pt>
                <c:pt idx="443">
                  <c:v>0.24687694485566025</c:v>
                </c:pt>
                <c:pt idx="444">
                  <c:v>0.23958029698730587</c:v>
                </c:pt>
                <c:pt idx="445">
                  <c:v>1.0156226325476596</c:v>
                </c:pt>
                <c:pt idx="446">
                  <c:v>0.92071605882535734</c:v>
                </c:pt>
                <c:pt idx="447">
                  <c:v>1.3924790820206412</c:v>
                </c:pt>
                <c:pt idx="448">
                  <c:v>0.85577859910597531</c:v>
                </c:pt>
                <c:pt idx="449">
                  <c:v>2.0884660345992447</c:v>
                </c:pt>
                <c:pt idx="450">
                  <c:v>1.0837040437235772</c:v>
                </c:pt>
                <c:pt idx="451">
                  <c:v>0.59845993873177816</c:v>
                </c:pt>
                <c:pt idx="452">
                  <c:v>1.2545781770736384</c:v>
                </c:pt>
                <c:pt idx="453">
                  <c:v>1.5905141938054088</c:v>
                </c:pt>
                <c:pt idx="454">
                  <c:v>-3.3515411725487665E-2</c:v>
                </c:pt>
                <c:pt idx="455">
                  <c:v>0.44720791551729722</c:v>
                </c:pt>
                <c:pt idx="456">
                  <c:v>0.93468943901346435</c:v>
                </c:pt>
                <c:pt idx="457">
                  <c:v>2.3214196048385674</c:v>
                </c:pt>
                <c:pt idx="458">
                  <c:v>2.5044660687030205</c:v>
                </c:pt>
                <c:pt idx="459">
                  <c:v>2.2396731505278007</c:v>
                </c:pt>
                <c:pt idx="460">
                  <c:v>0.82091656199529572</c:v>
                </c:pt>
                <c:pt idx="461">
                  <c:v>3.50446606870302</c:v>
                </c:pt>
                <c:pt idx="462">
                  <c:v>-3.50446606870302</c:v>
                </c:pt>
                <c:pt idx="463">
                  <c:v>-3.50446606870302</c:v>
                </c:pt>
                <c:pt idx="464">
                  <c:v>3.50446606870302</c:v>
                </c:pt>
              </c:numCache>
            </c:numRef>
          </c:xVal>
          <c:yVal>
            <c:numRef>
              <c:f>【付録】万華鏡!$F$8:$F$472</c:f>
              <c:numCache>
                <c:formatCode>General</c:formatCode>
                <c:ptCount val="465"/>
                <c:pt idx="0">
                  <c:v>0.35517086012381588</c:v>
                </c:pt>
                <c:pt idx="1">
                  <c:v>-0.98011799808130107</c:v>
                </c:pt>
                <c:pt idx="2">
                  <c:v>0.23687133263466476</c:v>
                </c:pt>
                <c:pt idx="3">
                  <c:v>0.87034464011775625</c:v>
                </c:pt>
                <c:pt idx="4">
                  <c:v>-1.0315161997918354</c:v>
                </c:pt>
                <c:pt idx="5">
                  <c:v>-0.758183179013457</c:v>
                </c:pt>
                <c:pt idx="6">
                  <c:v>-2.8687338859660242E-2</c:v>
                </c:pt>
                <c:pt idx="7">
                  <c:v>0.71714735978640143</c:v>
                </c:pt>
                <c:pt idx="8">
                  <c:v>1.0952017934082616</c:v>
                </c:pt>
                <c:pt idx="9">
                  <c:v>0.63245936253530755</c:v>
                </c:pt>
                <c:pt idx="10">
                  <c:v>0.52503228694021797</c:v>
                </c:pt>
                <c:pt idx="11">
                  <c:v>-0.21019120359561433</c:v>
                </c:pt>
                <c:pt idx="12">
                  <c:v>0.28463021069042171</c:v>
                </c:pt>
                <c:pt idx="13">
                  <c:v>0.2040710045551431</c:v>
                </c:pt>
                <c:pt idx="14">
                  <c:v>0.1524559461437856</c:v>
                </c:pt>
                <c:pt idx="15">
                  <c:v>-0.75858500372217619</c:v>
                </c:pt>
                <c:pt idx="16">
                  <c:v>-0.19928079733249099</c:v>
                </c:pt>
                <c:pt idx="17">
                  <c:v>-8.4433871039845593E-2</c:v>
                </c:pt>
                <c:pt idx="18">
                  <c:v>1.5716185339115856</c:v>
                </c:pt>
                <c:pt idx="19">
                  <c:v>1.5106098758487789</c:v>
                </c:pt>
                <c:pt idx="20">
                  <c:v>1.5147175189578244</c:v>
                </c:pt>
                <c:pt idx="21">
                  <c:v>-0.8352139003584782</c:v>
                </c:pt>
                <c:pt idx="22">
                  <c:v>-0.56536206371943032</c:v>
                </c:pt>
                <c:pt idx="23">
                  <c:v>1.2647482087717228</c:v>
                </c:pt>
                <c:pt idx="24">
                  <c:v>-3.2800328079521601E-2</c:v>
                </c:pt>
                <c:pt idx="25">
                  <c:v>-0.7178886939739707</c:v>
                </c:pt>
                <c:pt idx="26">
                  <c:v>0.27293119606965899</c:v>
                </c:pt>
                <c:pt idx="27">
                  <c:v>0.55890238168096595</c:v>
                </c:pt>
                <c:pt idx="28">
                  <c:v>-5.5746532180185368E-2</c:v>
                </c:pt>
                <c:pt idx="29">
                  <c:v>0.85447117412518447</c:v>
                </c:pt>
                <c:pt idx="30">
                  <c:v>0.41540808244051775</c:v>
                </c:pt>
                <c:pt idx="31">
                  <c:v>0.88225815642251715</c:v>
                </c:pt>
                <c:pt idx="32">
                  <c:v>-1.3602461872986966</c:v>
                </c:pt>
                <c:pt idx="33">
                  <c:v>-0.3551708601238161</c:v>
                </c:pt>
                <c:pt idx="34">
                  <c:v>0.98011799808130129</c:v>
                </c:pt>
                <c:pt idx="35">
                  <c:v>-0.2368713326346647</c:v>
                </c:pt>
                <c:pt idx="36">
                  <c:v>-0.87034464011775647</c:v>
                </c:pt>
                <c:pt idx="37">
                  <c:v>1.0315161997918354</c:v>
                </c:pt>
                <c:pt idx="38">
                  <c:v>0.75818317901345711</c:v>
                </c:pt>
                <c:pt idx="39">
                  <c:v>2.8687338859660218E-2</c:v>
                </c:pt>
                <c:pt idx="40">
                  <c:v>-0.7171473597864011</c:v>
                </c:pt>
                <c:pt idx="41">
                  <c:v>-1.0952017934082612</c:v>
                </c:pt>
                <c:pt idx="42">
                  <c:v>-0.63245936253530699</c:v>
                </c:pt>
                <c:pt idx="43">
                  <c:v>-0.52503228694021853</c:v>
                </c:pt>
                <c:pt idx="44">
                  <c:v>0.21019120359561422</c:v>
                </c:pt>
                <c:pt idx="45">
                  <c:v>-0.28463021069042116</c:v>
                </c:pt>
                <c:pt idx="46">
                  <c:v>-0.20407100455514315</c:v>
                </c:pt>
                <c:pt idx="47">
                  <c:v>-0.15245594614378594</c:v>
                </c:pt>
                <c:pt idx="48">
                  <c:v>0.75858500372217663</c:v>
                </c:pt>
                <c:pt idx="49">
                  <c:v>0.19928079733249135</c:v>
                </c:pt>
                <c:pt idx="50">
                  <c:v>8.4433871039845593E-2</c:v>
                </c:pt>
                <c:pt idx="51">
                  <c:v>-1.5716185339115856</c:v>
                </c:pt>
                <c:pt idx="52">
                  <c:v>-1.5106098758487791</c:v>
                </c:pt>
                <c:pt idx="53">
                  <c:v>-1.5147175189578241</c:v>
                </c:pt>
                <c:pt idx="54">
                  <c:v>0.8352139003584782</c:v>
                </c:pt>
                <c:pt idx="55">
                  <c:v>0.56536206371943032</c:v>
                </c:pt>
                <c:pt idx="56">
                  <c:v>-1.2647482087717223</c:v>
                </c:pt>
                <c:pt idx="57">
                  <c:v>3.280032807952149E-2</c:v>
                </c:pt>
                <c:pt idx="58">
                  <c:v>0.71788869397397048</c:v>
                </c:pt>
                <c:pt idx="59">
                  <c:v>-0.27293119606965865</c:v>
                </c:pt>
                <c:pt idx="60">
                  <c:v>-0.55890238168096573</c:v>
                </c:pt>
                <c:pt idx="61">
                  <c:v>5.5746532180185389E-2</c:v>
                </c:pt>
                <c:pt idx="62">
                  <c:v>-0.85447117412518481</c:v>
                </c:pt>
                <c:pt idx="63">
                  <c:v>-0.4154080824405183</c:v>
                </c:pt>
                <c:pt idx="64">
                  <c:v>-0.88225815642251759</c:v>
                </c:pt>
                <c:pt idx="65">
                  <c:v>1.3602461872986968</c:v>
                </c:pt>
                <c:pt idx="66">
                  <c:v>0.35517086012381621</c:v>
                </c:pt>
                <c:pt idx="67">
                  <c:v>0.35517086012381588</c:v>
                </c:pt>
                <c:pt idx="68">
                  <c:v>-0.98011799808130107</c:v>
                </c:pt>
                <c:pt idx="69">
                  <c:v>0.23687133263466476</c:v>
                </c:pt>
                <c:pt idx="70">
                  <c:v>0.87034464011775625</c:v>
                </c:pt>
                <c:pt idx="71">
                  <c:v>-1.0315161997918354</c:v>
                </c:pt>
                <c:pt idx="72">
                  <c:v>-0.758183179013457</c:v>
                </c:pt>
                <c:pt idx="73">
                  <c:v>-2.8687338859660242E-2</c:v>
                </c:pt>
                <c:pt idx="74">
                  <c:v>0.71714735978640143</c:v>
                </c:pt>
                <c:pt idx="75">
                  <c:v>1.0952017934082616</c:v>
                </c:pt>
                <c:pt idx="76">
                  <c:v>0.63245936253530755</c:v>
                </c:pt>
                <c:pt idx="77">
                  <c:v>0.52503228694021797</c:v>
                </c:pt>
                <c:pt idx="78">
                  <c:v>-0.21019120359561433</c:v>
                </c:pt>
                <c:pt idx="79">
                  <c:v>0.28463021069042171</c:v>
                </c:pt>
                <c:pt idx="80">
                  <c:v>0.2040710045551431</c:v>
                </c:pt>
                <c:pt idx="81">
                  <c:v>0.1524559461437856</c:v>
                </c:pt>
                <c:pt idx="82">
                  <c:v>-0.75858500372217619</c:v>
                </c:pt>
                <c:pt idx="83">
                  <c:v>-0.19928079733249099</c:v>
                </c:pt>
                <c:pt idx="84">
                  <c:v>-8.4433871039845593E-2</c:v>
                </c:pt>
                <c:pt idx="85">
                  <c:v>1.5716185339115856</c:v>
                </c:pt>
                <c:pt idx="86">
                  <c:v>1.5106098758487789</c:v>
                </c:pt>
                <c:pt idx="87">
                  <c:v>1.5147175189578244</c:v>
                </c:pt>
                <c:pt idx="88">
                  <c:v>-0.8352139003584782</c:v>
                </c:pt>
                <c:pt idx="89">
                  <c:v>-0.56536206371943032</c:v>
                </c:pt>
                <c:pt idx="90">
                  <c:v>1.2647482087717228</c:v>
                </c:pt>
                <c:pt idx="91">
                  <c:v>-3.2800328079521601E-2</c:v>
                </c:pt>
                <c:pt idx="92">
                  <c:v>-0.7178886939739707</c:v>
                </c:pt>
                <c:pt idx="93">
                  <c:v>0.27293119606965899</c:v>
                </c:pt>
                <c:pt idx="94">
                  <c:v>0.55890238168096595</c:v>
                </c:pt>
                <c:pt idx="95">
                  <c:v>-5.5746532180185368E-2</c:v>
                </c:pt>
                <c:pt idx="96">
                  <c:v>0.85447117412518447</c:v>
                </c:pt>
                <c:pt idx="97">
                  <c:v>0.41540808244051775</c:v>
                </c:pt>
                <c:pt idx="98">
                  <c:v>0.88225815642251715</c:v>
                </c:pt>
                <c:pt idx="99">
                  <c:v>-1.3602461872986966</c:v>
                </c:pt>
                <c:pt idx="100">
                  <c:v>-0.3551708601238161</c:v>
                </c:pt>
                <c:pt idx="101">
                  <c:v>0.98011799808130129</c:v>
                </c:pt>
                <c:pt idx="102">
                  <c:v>-0.2368713326346647</c:v>
                </c:pt>
                <c:pt idx="103">
                  <c:v>-0.87034464011775647</c:v>
                </c:pt>
                <c:pt idx="104">
                  <c:v>1.0315161997918354</c:v>
                </c:pt>
                <c:pt idx="105">
                  <c:v>0.75818317901345711</c:v>
                </c:pt>
                <c:pt idx="106">
                  <c:v>2.8687338859660218E-2</c:v>
                </c:pt>
                <c:pt idx="107">
                  <c:v>-0.7171473597864011</c:v>
                </c:pt>
                <c:pt idx="108">
                  <c:v>-1.0952017934082612</c:v>
                </c:pt>
                <c:pt idx="109">
                  <c:v>-0.63245936253530699</c:v>
                </c:pt>
                <c:pt idx="110">
                  <c:v>-0.52503228694021853</c:v>
                </c:pt>
                <c:pt idx="111">
                  <c:v>0.21019120359561422</c:v>
                </c:pt>
                <c:pt idx="112">
                  <c:v>-0.28463021069042116</c:v>
                </c:pt>
                <c:pt idx="113">
                  <c:v>-0.20407100455514315</c:v>
                </c:pt>
                <c:pt idx="114">
                  <c:v>-0.15245594614378594</c:v>
                </c:pt>
                <c:pt idx="115">
                  <c:v>0.75858500372217663</c:v>
                </c:pt>
                <c:pt idx="116">
                  <c:v>0.19928079733249135</c:v>
                </c:pt>
                <c:pt idx="117">
                  <c:v>8.4433871039845593E-2</c:v>
                </c:pt>
                <c:pt idx="118">
                  <c:v>-1.5716185339115856</c:v>
                </c:pt>
                <c:pt idx="119">
                  <c:v>-1.5106098758487791</c:v>
                </c:pt>
                <c:pt idx="120">
                  <c:v>-1.5147175189578241</c:v>
                </c:pt>
                <c:pt idx="121">
                  <c:v>0.8352139003584782</c:v>
                </c:pt>
                <c:pt idx="122">
                  <c:v>0.56536206371943032</c:v>
                </c:pt>
                <c:pt idx="123">
                  <c:v>-1.2647482087717223</c:v>
                </c:pt>
                <c:pt idx="124">
                  <c:v>3.280032807952149E-2</c:v>
                </c:pt>
                <c:pt idx="125">
                  <c:v>0.71788869397397048</c:v>
                </c:pt>
                <c:pt idx="126">
                  <c:v>-0.27293119606965865</c:v>
                </c:pt>
                <c:pt idx="127">
                  <c:v>-0.55890238168096573</c:v>
                </c:pt>
                <c:pt idx="128">
                  <c:v>5.5746532180185389E-2</c:v>
                </c:pt>
                <c:pt idx="129">
                  <c:v>-0.85447117412518481</c:v>
                </c:pt>
                <c:pt idx="130">
                  <c:v>-0.4154080824405183</c:v>
                </c:pt>
                <c:pt idx="131">
                  <c:v>-0.88225815642251759</c:v>
                </c:pt>
                <c:pt idx="132">
                  <c:v>1.3602461872986968</c:v>
                </c:pt>
                <c:pt idx="133">
                  <c:v>2.0872216676926931</c:v>
                </c:pt>
                <c:pt idx="134">
                  <c:v>0.75193280948757613</c:v>
                </c:pt>
                <c:pt idx="135">
                  <c:v>1.9689221402035419</c:v>
                </c:pt>
                <c:pt idx="136">
                  <c:v>2.6023954476866336</c:v>
                </c:pt>
                <c:pt idx="137">
                  <c:v>0.7005346077770418</c:v>
                </c:pt>
                <c:pt idx="138">
                  <c:v>0.9738676285554202</c:v>
                </c:pt>
                <c:pt idx="139">
                  <c:v>1.703363468709217</c:v>
                </c:pt>
                <c:pt idx="140">
                  <c:v>2.4491981673552785</c:v>
                </c:pt>
                <c:pt idx="141">
                  <c:v>2.8272526009771388</c:v>
                </c:pt>
                <c:pt idx="142">
                  <c:v>2.3645101701041846</c:v>
                </c:pt>
                <c:pt idx="143">
                  <c:v>2.2570830945090954</c:v>
                </c:pt>
                <c:pt idx="144">
                  <c:v>1.5218596039732628</c:v>
                </c:pt>
                <c:pt idx="145">
                  <c:v>2.0166810182592991</c:v>
                </c:pt>
                <c:pt idx="146">
                  <c:v>1.9361218121240202</c:v>
                </c:pt>
                <c:pt idx="147">
                  <c:v>1.8845067537126627</c:v>
                </c:pt>
                <c:pt idx="148">
                  <c:v>0.97346580384670101</c:v>
                </c:pt>
                <c:pt idx="149">
                  <c:v>1.5327700102363861</c:v>
                </c:pt>
                <c:pt idx="150">
                  <c:v>1.6476169365290316</c:v>
                </c:pt>
                <c:pt idx="151">
                  <c:v>3.3036693414804628</c:v>
                </c:pt>
                <c:pt idx="152">
                  <c:v>3.2426606834176561</c:v>
                </c:pt>
                <c:pt idx="153">
                  <c:v>3.2467683265267016</c:v>
                </c:pt>
                <c:pt idx="154">
                  <c:v>0.89683690721039899</c:v>
                </c:pt>
                <c:pt idx="155">
                  <c:v>1.1666887438494469</c:v>
                </c:pt>
                <c:pt idx="156">
                  <c:v>2.9967990163406002</c:v>
                </c:pt>
                <c:pt idx="157">
                  <c:v>1.6992504794893555</c:v>
                </c:pt>
                <c:pt idx="158">
                  <c:v>1.0141621135949066</c:v>
                </c:pt>
                <c:pt idx="159">
                  <c:v>2.0049820036385362</c:v>
                </c:pt>
                <c:pt idx="160">
                  <c:v>2.2909531892498434</c:v>
                </c:pt>
                <c:pt idx="161">
                  <c:v>1.6763042753886919</c:v>
                </c:pt>
                <c:pt idx="162">
                  <c:v>2.5865219816940614</c:v>
                </c:pt>
                <c:pt idx="163">
                  <c:v>2.1474588900093949</c:v>
                </c:pt>
                <c:pt idx="164">
                  <c:v>2.6143089639913946</c:v>
                </c:pt>
                <c:pt idx="165">
                  <c:v>0.37180462027018057</c:v>
                </c:pt>
                <c:pt idx="166">
                  <c:v>1.376879947445061</c:v>
                </c:pt>
                <c:pt idx="167">
                  <c:v>2.7121688056501787</c:v>
                </c:pt>
                <c:pt idx="168">
                  <c:v>1.4951794749342124</c:v>
                </c:pt>
                <c:pt idx="169">
                  <c:v>0.86170616745112072</c:v>
                </c:pt>
                <c:pt idx="170">
                  <c:v>2.7635670073607126</c:v>
                </c:pt>
                <c:pt idx="171">
                  <c:v>2.4902339865823344</c:v>
                </c:pt>
                <c:pt idx="172">
                  <c:v>1.7607381464285374</c:v>
                </c:pt>
                <c:pt idx="173">
                  <c:v>1.0149034477824761</c:v>
                </c:pt>
                <c:pt idx="174">
                  <c:v>0.63684901416061601</c:v>
                </c:pt>
                <c:pt idx="175">
                  <c:v>1.0995914450335702</c:v>
                </c:pt>
                <c:pt idx="176">
                  <c:v>1.2070185206286586</c:v>
                </c:pt>
                <c:pt idx="177">
                  <c:v>1.9422420111644914</c:v>
                </c:pt>
                <c:pt idx="178">
                  <c:v>1.4474205968784561</c:v>
                </c:pt>
                <c:pt idx="179">
                  <c:v>1.5279798030137339</c:v>
                </c:pt>
                <c:pt idx="180">
                  <c:v>1.5795948614250912</c:v>
                </c:pt>
                <c:pt idx="181">
                  <c:v>2.490635811291054</c:v>
                </c:pt>
                <c:pt idx="182">
                  <c:v>1.9313316049013685</c:v>
                </c:pt>
                <c:pt idx="183">
                  <c:v>1.8164846786087228</c:v>
                </c:pt>
                <c:pt idx="184">
                  <c:v>0.16043227365729162</c:v>
                </c:pt>
                <c:pt idx="185">
                  <c:v>0.22144093172009804</c:v>
                </c:pt>
                <c:pt idx="186">
                  <c:v>0.21733328861105305</c:v>
                </c:pt>
                <c:pt idx="187">
                  <c:v>2.5672647079273556</c:v>
                </c:pt>
                <c:pt idx="188">
                  <c:v>2.2974128712883077</c:v>
                </c:pt>
                <c:pt idx="189">
                  <c:v>0.46730259879715486</c:v>
                </c:pt>
                <c:pt idx="190">
                  <c:v>1.7648511356483987</c:v>
                </c:pt>
                <c:pt idx="191">
                  <c:v>2.4499395015428478</c:v>
                </c:pt>
                <c:pt idx="192">
                  <c:v>1.4591196114992186</c:v>
                </c:pt>
                <c:pt idx="193">
                  <c:v>1.1731484258879115</c:v>
                </c:pt>
                <c:pt idx="194">
                  <c:v>1.7877973397490625</c:v>
                </c:pt>
                <c:pt idx="195">
                  <c:v>0.87757963344369239</c:v>
                </c:pt>
                <c:pt idx="196">
                  <c:v>1.316642725128359</c:v>
                </c:pt>
                <c:pt idx="197">
                  <c:v>0.8497926511463596</c:v>
                </c:pt>
                <c:pt idx="198">
                  <c:v>3.0922969948675743</c:v>
                </c:pt>
                <c:pt idx="199">
                  <c:v>2.0872216676926931</c:v>
                </c:pt>
                <c:pt idx="200">
                  <c:v>0.75193280948757635</c:v>
                </c:pt>
                <c:pt idx="201">
                  <c:v>1.9689221402035422</c:v>
                </c:pt>
                <c:pt idx="202">
                  <c:v>2.6023954476866336</c:v>
                </c:pt>
                <c:pt idx="203">
                  <c:v>0.70053460777704202</c:v>
                </c:pt>
                <c:pt idx="204">
                  <c:v>0.97386762855542042</c:v>
                </c:pt>
                <c:pt idx="205">
                  <c:v>1.7033634687092172</c:v>
                </c:pt>
                <c:pt idx="206">
                  <c:v>2.449198167355279</c:v>
                </c:pt>
                <c:pt idx="207">
                  <c:v>2.8272526009771388</c:v>
                </c:pt>
                <c:pt idx="208">
                  <c:v>2.3645101701041851</c:v>
                </c:pt>
                <c:pt idx="209">
                  <c:v>2.2570830945090954</c:v>
                </c:pt>
                <c:pt idx="210">
                  <c:v>1.521859603973263</c:v>
                </c:pt>
                <c:pt idx="211">
                  <c:v>2.0166810182592991</c:v>
                </c:pt>
                <c:pt idx="212">
                  <c:v>1.9361218121240205</c:v>
                </c:pt>
                <c:pt idx="213">
                  <c:v>1.884506753712663</c:v>
                </c:pt>
                <c:pt idx="214">
                  <c:v>0.97346580384670123</c:v>
                </c:pt>
                <c:pt idx="215">
                  <c:v>1.5327700102363864</c:v>
                </c:pt>
                <c:pt idx="216">
                  <c:v>1.6476169365290319</c:v>
                </c:pt>
                <c:pt idx="217">
                  <c:v>3.3036693414804628</c:v>
                </c:pt>
                <c:pt idx="218">
                  <c:v>3.2426606834176566</c:v>
                </c:pt>
                <c:pt idx="219">
                  <c:v>3.246768326526702</c:v>
                </c:pt>
                <c:pt idx="220">
                  <c:v>0.89683690721039921</c:v>
                </c:pt>
                <c:pt idx="221">
                  <c:v>1.1666887438494471</c:v>
                </c:pt>
                <c:pt idx="222">
                  <c:v>2.9967990163406002</c:v>
                </c:pt>
                <c:pt idx="223">
                  <c:v>1.6992504794893559</c:v>
                </c:pt>
                <c:pt idx="224">
                  <c:v>1.0141621135949066</c:v>
                </c:pt>
                <c:pt idx="225">
                  <c:v>2.0049820036385366</c:v>
                </c:pt>
                <c:pt idx="226">
                  <c:v>2.2909531892498434</c:v>
                </c:pt>
                <c:pt idx="227">
                  <c:v>1.6763042753886921</c:v>
                </c:pt>
                <c:pt idx="228">
                  <c:v>2.5865219816940619</c:v>
                </c:pt>
                <c:pt idx="229">
                  <c:v>2.1474588900093954</c:v>
                </c:pt>
                <c:pt idx="230">
                  <c:v>2.6143089639913946</c:v>
                </c:pt>
                <c:pt idx="231">
                  <c:v>0.3718046202701808</c:v>
                </c:pt>
                <c:pt idx="232">
                  <c:v>1.3768799474450613</c:v>
                </c:pt>
                <c:pt idx="233">
                  <c:v>2.7121688056501787</c:v>
                </c:pt>
                <c:pt idx="234">
                  <c:v>1.4951794749342127</c:v>
                </c:pt>
                <c:pt idx="235">
                  <c:v>0.86170616745112094</c:v>
                </c:pt>
                <c:pt idx="236">
                  <c:v>2.763567007360713</c:v>
                </c:pt>
                <c:pt idx="237">
                  <c:v>2.4902339865823344</c:v>
                </c:pt>
                <c:pt idx="238">
                  <c:v>1.7607381464285377</c:v>
                </c:pt>
                <c:pt idx="239">
                  <c:v>1.0149034477824763</c:v>
                </c:pt>
                <c:pt idx="240">
                  <c:v>0.63684901416061623</c:v>
                </c:pt>
                <c:pt idx="241">
                  <c:v>1.0995914450335704</c:v>
                </c:pt>
                <c:pt idx="242">
                  <c:v>1.207018520628659</c:v>
                </c:pt>
                <c:pt idx="243">
                  <c:v>1.9422420111644916</c:v>
                </c:pt>
                <c:pt idx="244">
                  <c:v>1.4474205968784561</c:v>
                </c:pt>
                <c:pt idx="245">
                  <c:v>1.5279798030137344</c:v>
                </c:pt>
                <c:pt idx="246">
                  <c:v>1.5795948614250914</c:v>
                </c:pt>
                <c:pt idx="247">
                  <c:v>2.490635811291054</c:v>
                </c:pt>
                <c:pt idx="248">
                  <c:v>1.9313316049013687</c:v>
                </c:pt>
                <c:pt idx="249">
                  <c:v>1.816484678608723</c:v>
                </c:pt>
                <c:pt idx="250">
                  <c:v>0.16043227365729185</c:v>
                </c:pt>
                <c:pt idx="251">
                  <c:v>0.22144093172009827</c:v>
                </c:pt>
                <c:pt idx="252">
                  <c:v>0.21733328861105328</c:v>
                </c:pt>
                <c:pt idx="253">
                  <c:v>2.5672647079273556</c:v>
                </c:pt>
                <c:pt idx="254">
                  <c:v>2.2974128712883077</c:v>
                </c:pt>
                <c:pt idx="255">
                  <c:v>0.46730259879715508</c:v>
                </c:pt>
                <c:pt idx="256">
                  <c:v>1.7648511356483989</c:v>
                </c:pt>
                <c:pt idx="257">
                  <c:v>2.4499395015428478</c:v>
                </c:pt>
                <c:pt idx="258">
                  <c:v>1.4591196114992186</c:v>
                </c:pt>
                <c:pt idx="259">
                  <c:v>1.1731484258879117</c:v>
                </c:pt>
                <c:pt idx="260">
                  <c:v>1.7877973397490627</c:v>
                </c:pt>
                <c:pt idx="261">
                  <c:v>0.87757963344369261</c:v>
                </c:pt>
                <c:pt idx="262">
                  <c:v>1.316642725128359</c:v>
                </c:pt>
                <c:pt idx="263">
                  <c:v>0.3551708601238161</c:v>
                </c:pt>
                <c:pt idx="264">
                  <c:v>-0.98011799808130085</c:v>
                </c:pt>
                <c:pt idx="265">
                  <c:v>0.236871332634665</c:v>
                </c:pt>
                <c:pt idx="266">
                  <c:v>0.87034464011775647</c:v>
                </c:pt>
                <c:pt idx="267">
                  <c:v>-1.0315161997918352</c:v>
                </c:pt>
                <c:pt idx="268">
                  <c:v>-0.75818317901345678</c:v>
                </c:pt>
                <c:pt idx="269">
                  <c:v>-2.8687338859659996E-2</c:v>
                </c:pt>
                <c:pt idx="270">
                  <c:v>0.71714735978640165</c:v>
                </c:pt>
                <c:pt idx="271">
                  <c:v>1.0952017934082618</c:v>
                </c:pt>
                <c:pt idx="272">
                  <c:v>0.63245936253530777</c:v>
                </c:pt>
                <c:pt idx="273">
                  <c:v>0.5250322869402182</c:v>
                </c:pt>
                <c:pt idx="274">
                  <c:v>-0.21019120359561408</c:v>
                </c:pt>
                <c:pt idx="275">
                  <c:v>0.28463021069042194</c:v>
                </c:pt>
                <c:pt idx="276">
                  <c:v>0.20407100455514335</c:v>
                </c:pt>
                <c:pt idx="277">
                  <c:v>0.15245594614378585</c:v>
                </c:pt>
                <c:pt idx="278">
                  <c:v>-0.75858500372217597</c:v>
                </c:pt>
                <c:pt idx="279">
                  <c:v>-0.19928079733249074</c:v>
                </c:pt>
                <c:pt idx="280">
                  <c:v>-8.4433871039845343E-2</c:v>
                </c:pt>
                <c:pt idx="281">
                  <c:v>1.5716185339115858</c:v>
                </c:pt>
                <c:pt idx="282">
                  <c:v>1.5106098758487791</c:v>
                </c:pt>
                <c:pt idx="283">
                  <c:v>1.5147175189578246</c:v>
                </c:pt>
                <c:pt idx="284">
                  <c:v>-0.83521390035847798</c:v>
                </c:pt>
                <c:pt idx="285">
                  <c:v>-0.5653620637194301</c:v>
                </c:pt>
                <c:pt idx="286">
                  <c:v>1.264748208771723</c:v>
                </c:pt>
                <c:pt idx="287">
                  <c:v>-3.2800328079521358E-2</c:v>
                </c:pt>
                <c:pt idx="288">
                  <c:v>-0.71788869397397048</c:v>
                </c:pt>
                <c:pt idx="289">
                  <c:v>0.27293119606965921</c:v>
                </c:pt>
                <c:pt idx="290">
                  <c:v>0.55890238168096618</c:v>
                </c:pt>
                <c:pt idx="291">
                  <c:v>-5.5746532180185125E-2</c:v>
                </c:pt>
                <c:pt idx="292">
                  <c:v>0.8544711741251847</c:v>
                </c:pt>
                <c:pt idx="293">
                  <c:v>0.41540808244051797</c:v>
                </c:pt>
                <c:pt idx="294">
                  <c:v>0.88225815642251737</c:v>
                </c:pt>
                <c:pt idx="295">
                  <c:v>-1.3602461872986964</c:v>
                </c:pt>
                <c:pt idx="296">
                  <c:v>-0.35517086012381588</c:v>
                </c:pt>
                <c:pt idx="297">
                  <c:v>0.98011799808130151</c:v>
                </c:pt>
                <c:pt idx="298">
                  <c:v>-0.23687133263466445</c:v>
                </c:pt>
                <c:pt idx="299">
                  <c:v>-0.87034464011775625</c:v>
                </c:pt>
                <c:pt idx="300">
                  <c:v>1.0315161997918356</c:v>
                </c:pt>
                <c:pt idx="301">
                  <c:v>0.75818317901345733</c:v>
                </c:pt>
                <c:pt idx="302">
                  <c:v>2.8687338859660464E-2</c:v>
                </c:pt>
                <c:pt idx="303">
                  <c:v>-0.71714735978640087</c:v>
                </c:pt>
                <c:pt idx="304">
                  <c:v>-1.095201793408261</c:v>
                </c:pt>
                <c:pt idx="305">
                  <c:v>-0.63245936253530677</c:v>
                </c:pt>
                <c:pt idx="306">
                  <c:v>-0.52503228694021831</c:v>
                </c:pt>
                <c:pt idx="307">
                  <c:v>0.21019120359561447</c:v>
                </c:pt>
                <c:pt idx="308">
                  <c:v>-0.28463021069042094</c:v>
                </c:pt>
                <c:pt idx="309">
                  <c:v>-0.2040710045551429</c:v>
                </c:pt>
                <c:pt idx="310">
                  <c:v>-0.15245594614378569</c:v>
                </c:pt>
                <c:pt idx="311">
                  <c:v>0.75858500372217685</c:v>
                </c:pt>
                <c:pt idx="312">
                  <c:v>0.1992807973324916</c:v>
                </c:pt>
                <c:pt idx="313">
                  <c:v>8.4433871039845843E-2</c:v>
                </c:pt>
                <c:pt idx="314">
                  <c:v>-1.5716185339115853</c:v>
                </c:pt>
                <c:pt idx="315">
                  <c:v>-1.5106098758487789</c:v>
                </c:pt>
                <c:pt idx="316">
                  <c:v>-1.5147175189578239</c:v>
                </c:pt>
                <c:pt idx="317">
                  <c:v>0.83521390035847842</c:v>
                </c:pt>
                <c:pt idx="318">
                  <c:v>0.56536206371943054</c:v>
                </c:pt>
                <c:pt idx="319">
                  <c:v>-1.2647482087717221</c:v>
                </c:pt>
                <c:pt idx="320">
                  <c:v>3.2800328079521733E-2</c:v>
                </c:pt>
                <c:pt idx="321">
                  <c:v>0.7178886939739707</c:v>
                </c:pt>
                <c:pt idx="322">
                  <c:v>-0.27293119606965843</c:v>
                </c:pt>
                <c:pt idx="323">
                  <c:v>-0.55890238168096551</c:v>
                </c:pt>
                <c:pt idx="324">
                  <c:v>5.5746532180185632E-2</c:v>
                </c:pt>
                <c:pt idx="325">
                  <c:v>-0.85447117412518458</c:v>
                </c:pt>
                <c:pt idx="326">
                  <c:v>-0.41540808244051808</c:v>
                </c:pt>
                <c:pt idx="327">
                  <c:v>-0.88225815642251737</c:v>
                </c:pt>
                <c:pt idx="328">
                  <c:v>1.3602461872986971</c:v>
                </c:pt>
                <c:pt idx="329">
                  <c:v>-1.3768799474450608</c:v>
                </c:pt>
                <c:pt idx="330">
                  <c:v>-2.7121688056501778</c:v>
                </c:pt>
                <c:pt idx="331">
                  <c:v>-1.495179474934212</c:v>
                </c:pt>
                <c:pt idx="332">
                  <c:v>-0.8617061674511205</c:v>
                </c:pt>
                <c:pt idx="333">
                  <c:v>-2.7635670073607121</c:v>
                </c:pt>
                <c:pt idx="334">
                  <c:v>-2.490233986582334</c:v>
                </c:pt>
                <c:pt idx="335">
                  <c:v>-1.760738146428537</c:v>
                </c:pt>
                <c:pt idx="336">
                  <c:v>-1.0149034477824754</c:v>
                </c:pt>
                <c:pt idx="337">
                  <c:v>-0.63684901416061512</c:v>
                </c:pt>
                <c:pt idx="338">
                  <c:v>-1.0995914450335693</c:v>
                </c:pt>
                <c:pt idx="339">
                  <c:v>-1.2070185206286588</c:v>
                </c:pt>
                <c:pt idx="340">
                  <c:v>-1.9422420111644911</c:v>
                </c:pt>
                <c:pt idx="341">
                  <c:v>-1.447420596878455</c:v>
                </c:pt>
                <c:pt idx="342">
                  <c:v>-1.5279798030137337</c:v>
                </c:pt>
                <c:pt idx="343">
                  <c:v>-1.5795948614250912</c:v>
                </c:pt>
                <c:pt idx="344">
                  <c:v>-2.4906358112910532</c:v>
                </c:pt>
                <c:pt idx="345">
                  <c:v>-1.9313316049013678</c:v>
                </c:pt>
                <c:pt idx="346">
                  <c:v>-1.8164846786087223</c:v>
                </c:pt>
                <c:pt idx="347">
                  <c:v>-0.16043227365729118</c:v>
                </c:pt>
                <c:pt idx="348">
                  <c:v>-0.22144093172009782</c:v>
                </c:pt>
                <c:pt idx="349">
                  <c:v>-0.21733328861105239</c:v>
                </c:pt>
                <c:pt idx="350">
                  <c:v>-2.5672647079273547</c:v>
                </c:pt>
                <c:pt idx="351">
                  <c:v>-2.2974128712883068</c:v>
                </c:pt>
                <c:pt idx="352">
                  <c:v>-0.46730259879715397</c:v>
                </c:pt>
                <c:pt idx="353">
                  <c:v>-1.7648511356483985</c:v>
                </c:pt>
                <c:pt idx="354">
                  <c:v>-2.4499395015428473</c:v>
                </c:pt>
                <c:pt idx="355">
                  <c:v>-1.4591196114992178</c:v>
                </c:pt>
                <c:pt idx="356">
                  <c:v>-1.1731484258879108</c:v>
                </c:pt>
                <c:pt idx="357">
                  <c:v>-1.7877973397490621</c:v>
                </c:pt>
                <c:pt idx="358">
                  <c:v>-0.87757963344369228</c:v>
                </c:pt>
                <c:pt idx="359">
                  <c:v>-1.316642725128359</c:v>
                </c:pt>
                <c:pt idx="360">
                  <c:v>-0.8497926511463596</c:v>
                </c:pt>
                <c:pt idx="361">
                  <c:v>-3.0922969948675734</c:v>
                </c:pt>
                <c:pt idx="362">
                  <c:v>-2.0872216676926927</c:v>
                </c:pt>
                <c:pt idx="363">
                  <c:v>-0.75193280948757546</c:v>
                </c:pt>
                <c:pt idx="364">
                  <c:v>-1.9689221402035415</c:v>
                </c:pt>
                <c:pt idx="365">
                  <c:v>-2.6023954476866331</c:v>
                </c:pt>
                <c:pt idx="366">
                  <c:v>-0.70053460777704135</c:v>
                </c:pt>
                <c:pt idx="367">
                  <c:v>-0.97386762855541964</c:v>
                </c:pt>
                <c:pt idx="368">
                  <c:v>-1.7033634687092165</c:v>
                </c:pt>
                <c:pt idx="369">
                  <c:v>-2.4491981673552781</c:v>
                </c:pt>
                <c:pt idx="370">
                  <c:v>-2.8272526009771379</c:v>
                </c:pt>
                <c:pt idx="371">
                  <c:v>-2.3645101701041837</c:v>
                </c:pt>
                <c:pt idx="372">
                  <c:v>-2.2570830945090954</c:v>
                </c:pt>
                <c:pt idx="373">
                  <c:v>-1.5218596039732626</c:v>
                </c:pt>
                <c:pt idx="374">
                  <c:v>-2.0166810182592978</c:v>
                </c:pt>
                <c:pt idx="375">
                  <c:v>-1.93612181212402</c:v>
                </c:pt>
                <c:pt idx="376">
                  <c:v>-1.8845067537126627</c:v>
                </c:pt>
                <c:pt idx="377">
                  <c:v>-0.97346580384670012</c:v>
                </c:pt>
                <c:pt idx="378">
                  <c:v>-1.5327700102363855</c:v>
                </c:pt>
                <c:pt idx="379">
                  <c:v>-1.6476169365290312</c:v>
                </c:pt>
                <c:pt idx="380">
                  <c:v>-3.3036693414804623</c:v>
                </c:pt>
                <c:pt idx="381">
                  <c:v>-3.2426606834176557</c:v>
                </c:pt>
                <c:pt idx="382">
                  <c:v>-3.2467683265267011</c:v>
                </c:pt>
                <c:pt idx="383">
                  <c:v>-0.89683690721039855</c:v>
                </c:pt>
                <c:pt idx="384">
                  <c:v>-1.1666887438494464</c:v>
                </c:pt>
                <c:pt idx="385">
                  <c:v>-2.9967990163405993</c:v>
                </c:pt>
                <c:pt idx="386">
                  <c:v>-1.6992504794893553</c:v>
                </c:pt>
                <c:pt idx="387">
                  <c:v>-1.0141621135949062</c:v>
                </c:pt>
                <c:pt idx="388">
                  <c:v>-2.0049820036385353</c:v>
                </c:pt>
                <c:pt idx="389">
                  <c:v>-2.2909531892498425</c:v>
                </c:pt>
                <c:pt idx="390">
                  <c:v>-1.6763042753886914</c:v>
                </c:pt>
                <c:pt idx="391">
                  <c:v>-2.5865219816940614</c:v>
                </c:pt>
                <c:pt idx="392">
                  <c:v>-2.1474588900093949</c:v>
                </c:pt>
                <c:pt idx="393">
                  <c:v>-2.6143089639913946</c:v>
                </c:pt>
                <c:pt idx="394">
                  <c:v>-0.37180462027017991</c:v>
                </c:pt>
                <c:pt idx="395">
                  <c:v>-1.3768799474450613</c:v>
                </c:pt>
                <c:pt idx="396">
                  <c:v>-2.7121688056501783</c:v>
                </c:pt>
                <c:pt idx="397">
                  <c:v>-1.4951794749342124</c:v>
                </c:pt>
                <c:pt idx="398">
                  <c:v>-0.86170616745112094</c:v>
                </c:pt>
                <c:pt idx="399">
                  <c:v>-2.7635670073607126</c:v>
                </c:pt>
                <c:pt idx="400">
                  <c:v>-2.490233986582334</c:v>
                </c:pt>
                <c:pt idx="401">
                  <c:v>-1.7607381464285374</c:v>
                </c:pt>
                <c:pt idx="402">
                  <c:v>-1.0149034477824759</c:v>
                </c:pt>
                <c:pt idx="403">
                  <c:v>-0.63684901416061557</c:v>
                </c:pt>
                <c:pt idx="404">
                  <c:v>-1.0995914450335698</c:v>
                </c:pt>
                <c:pt idx="405">
                  <c:v>-1.2070185206286592</c:v>
                </c:pt>
                <c:pt idx="406">
                  <c:v>-1.9422420111644916</c:v>
                </c:pt>
                <c:pt idx="407">
                  <c:v>-1.4474205968784555</c:v>
                </c:pt>
                <c:pt idx="408">
                  <c:v>-1.5279798030137342</c:v>
                </c:pt>
                <c:pt idx="409">
                  <c:v>-1.5795948614250916</c:v>
                </c:pt>
                <c:pt idx="410">
                  <c:v>-2.4906358112910532</c:v>
                </c:pt>
                <c:pt idx="411">
                  <c:v>-1.9313316049013682</c:v>
                </c:pt>
                <c:pt idx="412">
                  <c:v>-1.8164846786087228</c:v>
                </c:pt>
                <c:pt idx="413">
                  <c:v>-0.16043227365729162</c:v>
                </c:pt>
                <c:pt idx="414">
                  <c:v>-0.22144093172009827</c:v>
                </c:pt>
                <c:pt idx="415">
                  <c:v>-0.21733328861105283</c:v>
                </c:pt>
                <c:pt idx="416">
                  <c:v>-2.5672647079273556</c:v>
                </c:pt>
                <c:pt idx="417">
                  <c:v>-2.2974128712883077</c:v>
                </c:pt>
                <c:pt idx="418">
                  <c:v>-0.46730259879715441</c:v>
                </c:pt>
                <c:pt idx="419">
                  <c:v>-1.7648511356483989</c:v>
                </c:pt>
                <c:pt idx="420">
                  <c:v>-2.4499395015428478</c:v>
                </c:pt>
                <c:pt idx="421">
                  <c:v>-1.4591196114992182</c:v>
                </c:pt>
                <c:pt idx="422">
                  <c:v>-1.1731484258879112</c:v>
                </c:pt>
                <c:pt idx="423">
                  <c:v>-1.7877973397490625</c:v>
                </c:pt>
                <c:pt idx="424">
                  <c:v>-0.87757963344369272</c:v>
                </c:pt>
                <c:pt idx="425">
                  <c:v>-1.3166427251283594</c:v>
                </c:pt>
                <c:pt idx="426">
                  <c:v>-0.84979265114636005</c:v>
                </c:pt>
                <c:pt idx="427">
                  <c:v>-3.0922969948675738</c:v>
                </c:pt>
                <c:pt idx="428">
                  <c:v>-2.0872216676926931</c:v>
                </c:pt>
                <c:pt idx="429">
                  <c:v>-0.7519328094875759</c:v>
                </c:pt>
                <c:pt idx="430">
                  <c:v>-1.9689221402035419</c:v>
                </c:pt>
                <c:pt idx="431">
                  <c:v>-2.6023954476866336</c:v>
                </c:pt>
                <c:pt idx="432">
                  <c:v>-0.7005346077770418</c:v>
                </c:pt>
                <c:pt idx="433">
                  <c:v>-0.97386762855542008</c:v>
                </c:pt>
                <c:pt idx="434">
                  <c:v>-1.703363468709217</c:v>
                </c:pt>
                <c:pt idx="435">
                  <c:v>-2.4491981673552781</c:v>
                </c:pt>
                <c:pt idx="436">
                  <c:v>-2.8272526009771384</c:v>
                </c:pt>
                <c:pt idx="437">
                  <c:v>-2.3645101701041842</c:v>
                </c:pt>
                <c:pt idx="438">
                  <c:v>-2.2570830945090958</c:v>
                </c:pt>
                <c:pt idx="439">
                  <c:v>-1.521859603973263</c:v>
                </c:pt>
                <c:pt idx="440">
                  <c:v>-2.0166810182592982</c:v>
                </c:pt>
                <c:pt idx="441">
                  <c:v>-1.9361218121240205</c:v>
                </c:pt>
                <c:pt idx="442">
                  <c:v>-1.8845067537126632</c:v>
                </c:pt>
                <c:pt idx="443">
                  <c:v>-0.97346580384670056</c:v>
                </c:pt>
                <c:pt idx="444">
                  <c:v>-1.5327700102363859</c:v>
                </c:pt>
                <c:pt idx="445">
                  <c:v>-1.6476169365290316</c:v>
                </c:pt>
                <c:pt idx="446">
                  <c:v>-3.3036693414804628</c:v>
                </c:pt>
                <c:pt idx="447">
                  <c:v>-3.2426606834176566</c:v>
                </c:pt>
                <c:pt idx="448">
                  <c:v>-3.2467683265267011</c:v>
                </c:pt>
                <c:pt idx="449">
                  <c:v>-0.89683690721039899</c:v>
                </c:pt>
                <c:pt idx="450">
                  <c:v>-1.1666887438494469</c:v>
                </c:pt>
                <c:pt idx="451">
                  <c:v>-2.9967990163405993</c:v>
                </c:pt>
                <c:pt idx="452">
                  <c:v>-1.6992504794893557</c:v>
                </c:pt>
                <c:pt idx="453">
                  <c:v>-1.0141621135949066</c:v>
                </c:pt>
                <c:pt idx="454">
                  <c:v>-2.0049820036385357</c:v>
                </c:pt>
                <c:pt idx="455">
                  <c:v>-2.2909531892498429</c:v>
                </c:pt>
                <c:pt idx="456">
                  <c:v>-1.6763042753886919</c:v>
                </c:pt>
                <c:pt idx="457">
                  <c:v>-2.5865219816940619</c:v>
                </c:pt>
                <c:pt idx="458">
                  <c:v>-2.1474588900093954</c:v>
                </c:pt>
                <c:pt idx="459">
                  <c:v>-2.6143089639913946</c:v>
                </c:pt>
                <c:pt idx="460">
                  <c:v>-0.37180462027018035</c:v>
                </c:pt>
                <c:pt idx="461">
                  <c:v>3.50446606870302</c:v>
                </c:pt>
                <c:pt idx="462">
                  <c:v>3.50446606870302</c:v>
                </c:pt>
                <c:pt idx="463">
                  <c:v>-3.50446606870302</c:v>
                </c:pt>
                <c:pt idx="464">
                  <c:v>-3.50446606870302</c:v>
                </c:pt>
              </c:numCache>
            </c:numRef>
          </c:yVal>
          <c:smooth val="0"/>
          <c:extLst>
            <c:ext xmlns:c16="http://schemas.microsoft.com/office/drawing/2014/chart" uri="{C3380CC4-5D6E-409C-BE32-E72D297353CC}">
              <c16:uniqueId val="{0000001A-F3FC-4657-8C8B-46CBFBA0AE82}"/>
            </c:ext>
          </c:extLst>
        </c:ser>
        <c:dLbls>
          <c:showLegendKey val="0"/>
          <c:showVal val="0"/>
          <c:showCatName val="0"/>
          <c:showSerName val="0"/>
          <c:showPercent val="0"/>
          <c:showBubbleSize val="0"/>
        </c:dLbls>
        <c:axId val="1128124160"/>
        <c:axId val="1128121536"/>
      </c:scatterChart>
      <c:valAx>
        <c:axId val="1128124160"/>
        <c:scaling>
          <c:orientation val="minMax"/>
        </c:scaling>
        <c:delete val="1"/>
        <c:axPos val="b"/>
        <c:numFmt formatCode="General" sourceLinked="1"/>
        <c:majorTickMark val="none"/>
        <c:minorTickMark val="none"/>
        <c:tickLblPos val="nextTo"/>
        <c:crossAx val="1128121536"/>
        <c:crosses val="autoZero"/>
        <c:crossBetween val="midCat"/>
      </c:valAx>
      <c:valAx>
        <c:axId val="1128121536"/>
        <c:scaling>
          <c:orientation val="minMax"/>
        </c:scaling>
        <c:delete val="1"/>
        <c:axPos val="l"/>
        <c:numFmt formatCode="General" sourceLinked="1"/>
        <c:majorTickMark val="none"/>
        <c:minorTickMark val="none"/>
        <c:tickLblPos val="nextTo"/>
        <c:crossAx val="112812416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4196">
          <a:schemeClr val="bg1"/>
        </a:gs>
        <a:gs pos="36000">
          <a:srgbClr val="FFDB6D"/>
        </a:gs>
        <a:gs pos="54000">
          <a:schemeClr val="bg1"/>
        </a:gs>
        <a:gs pos="73000">
          <a:srgbClr val="FFC000"/>
        </a:gs>
      </a:gsLst>
      <a:path path="circle">
        <a:fillToRect l="50000" t="50000" r="50000" b="50000"/>
      </a:path>
      <a:tileRect/>
    </a:gradFill>
    <a:ln w="9525" cap="flat" cmpd="sng" algn="ct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100000" t="100000"/>
        </a:path>
        <a:tileRect r="-100000" b="-100000"/>
      </a:grad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 Id="rId9"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8" Type="http://schemas.openxmlformats.org/officeDocument/2006/relationships/chart" Target="../charts/chart23.xml"/><Relationship Id="rId3" Type="http://schemas.openxmlformats.org/officeDocument/2006/relationships/chart" Target="../charts/chart18.xml"/><Relationship Id="rId7" Type="http://schemas.openxmlformats.org/officeDocument/2006/relationships/chart" Target="../charts/chart22.xml"/><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chart" Target="../charts/chart21.xml"/><Relationship Id="rId5" Type="http://schemas.openxmlformats.org/officeDocument/2006/relationships/chart" Target="../charts/chart20.xml"/><Relationship Id="rId4" Type="http://schemas.openxmlformats.org/officeDocument/2006/relationships/chart" Target="../charts/chart19.xml"/><Relationship Id="rId9" Type="http://schemas.openxmlformats.org/officeDocument/2006/relationships/chart" Target="../charts/chart2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5.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8</xdr:col>
      <xdr:colOff>647700</xdr:colOff>
      <xdr:row>6</xdr:row>
      <xdr:rowOff>22860</xdr:rowOff>
    </xdr:to>
    <xdr:sp macro="" textlink="">
      <xdr:nvSpPr>
        <xdr:cNvPr id="2" name="正方形/長方形 1">
          <a:extLst>
            <a:ext uri="{FF2B5EF4-FFF2-40B4-BE49-F238E27FC236}">
              <a16:creationId xmlns:a16="http://schemas.microsoft.com/office/drawing/2014/main" id="{C1290FB1-D9F1-4FE7-9A7B-72A91739CDF5}"/>
            </a:ext>
          </a:extLst>
        </xdr:cNvPr>
        <xdr:cNvSpPr/>
      </xdr:nvSpPr>
      <xdr:spPr>
        <a:xfrm>
          <a:off x="670560" y="228600"/>
          <a:ext cx="5341620" cy="1165860"/>
        </a:xfrm>
        <a:prstGeom prst="rect">
          <a:avLst/>
        </a:prstGeom>
        <a:solidFill>
          <a:schemeClr val="bg1"/>
        </a:solidFill>
        <a:ln w="508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167640</xdr:colOff>
      <xdr:row>1</xdr:row>
      <xdr:rowOff>76200</xdr:rowOff>
    </xdr:from>
    <xdr:to>
      <xdr:col>8</xdr:col>
      <xdr:colOff>358140</xdr:colOff>
      <xdr:row>5</xdr:row>
      <xdr:rowOff>213360</xdr:rowOff>
    </xdr:to>
    <xdr:sp macro="" textlink="">
      <xdr:nvSpPr>
        <xdr:cNvPr id="3" name="テキスト ボックス 2">
          <a:extLst>
            <a:ext uri="{FF2B5EF4-FFF2-40B4-BE49-F238E27FC236}">
              <a16:creationId xmlns:a16="http://schemas.microsoft.com/office/drawing/2014/main" id="{953662CE-87B6-469F-BED7-590FD666B7BE}"/>
            </a:ext>
          </a:extLst>
        </xdr:cNvPr>
        <xdr:cNvSpPr txBox="1"/>
      </xdr:nvSpPr>
      <xdr:spPr>
        <a:xfrm>
          <a:off x="838200" y="304800"/>
          <a:ext cx="4884420" cy="1051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演習問題１</a:t>
          </a:r>
          <a:endParaRPr kumimoji="1" lang="en-US" altLang="ja-JP" sz="1100" b="1"/>
        </a:p>
        <a:p>
          <a:r>
            <a:rPr kumimoji="1" lang="ja-JP" altLang="en-US" sz="1100"/>
            <a:t>（１）次の２組の数値データの散布図を描いてみましょう。</a:t>
          </a:r>
          <a:endParaRPr kumimoji="1" lang="en-US" altLang="ja-JP" sz="1100"/>
        </a:p>
        <a:p>
          <a:endParaRPr kumimoji="1" lang="en-US" altLang="ja-JP" sz="1100"/>
        </a:p>
        <a:p>
          <a:r>
            <a:rPr kumimoji="1" lang="ja-JP" altLang="en-US" sz="1100"/>
            <a:t>（２）横変形と縦変形で図形がどのように変形するか体感してみましょう。</a:t>
          </a:r>
        </a:p>
      </xdr:txBody>
    </xdr:sp>
    <xdr:clientData/>
  </xdr:twoCellAnchor>
  <xdr:twoCellAnchor>
    <xdr:from>
      <xdr:col>5</xdr:col>
      <xdr:colOff>449580</xdr:colOff>
      <xdr:row>36</xdr:row>
      <xdr:rowOff>15240</xdr:rowOff>
    </xdr:from>
    <xdr:to>
      <xdr:col>11</xdr:col>
      <xdr:colOff>26220</xdr:colOff>
      <xdr:row>51</xdr:row>
      <xdr:rowOff>148140</xdr:rowOff>
    </xdr:to>
    <xdr:sp macro="" textlink="">
      <xdr:nvSpPr>
        <xdr:cNvPr id="9" name="正方形/長方形 8">
          <a:extLst>
            <a:ext uri="{FF2B5EF4-FFF2-40B4-BE49-F238E27FC236}">
              <a16:creationId xmlns:a16="http://schemas.microsoft.com/office/drawing/2014/main" id="{7849B277-7C47-48AD-AEAB-A29A74D3FEB5}"/>
            </a:ext>
          </a:extLst>
        </xdr:cNvPr>
        <xdr:cNvSpPr/>
      </xdr:nvSpPr>
      <xdr:spPr>
        <a:xfrm>
          <a:off x="3802380" y="8282940"/>
          <a:ext cx="3600000" cy="3600000"/>
        </a:xfrm>
        <a:prstGeom prst="rect">
          <a:avLst/>
        </a:prstGeom>
        <a:solidFill>
          <a:schemeClr val="bg1">
            <a:lumMod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342900</xdr:colOff>
      <xdr:row>42</xdr:row>
      <xdr:rowOff>76200</xdr:rowOff>
    </xdr:from>
    <xdr:to>
      <xdr:col>10</xdr:col>
      <xdr:colOff>175260</xdr:colOff>
      <xdr:row>44</xdr:row>
      <xdr:rowOff>167640</xdr:rowOff>
    </xdr:to>
    <xdr:sp macro="" textlink="">
      <xdr:nvSpPr>
        <xdr:cNvPr id="10" name="テキスト ボックス 9">
          <a:extLst>
            <a:ext uri="{FF2B5EF4-FFF2-40B4-BE49-F238E27FC236}">
              <a16:creationId xmlns:a16="http://schemas.microsoft.com/office/drawing/2014/main" id="{180CEDDF-452F-40AC-BE76-0742139FDC67}"/>
            </a:ext>
          </a:extLst>
        </xdr:cNvPr>
        <xdr:cNvSpPr txBox="1"/>
      </xdr:nvSpPr>
      <xdr:spPr>
        <a:xfrm>
          <a:off x="4366260" y="9730740"/>
          <a:ext cx="2514600" cy="563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こちらに</a:t>
          </a:r>
          <a:r>
            <a:rPr kumimoji="1" lang="en-US" altLang="ja-JP" sz="1100"/>
            <a:t>10cm×10cm</a:t>
          </a:r>
          <a:r>
            <a:rPr kumimoji="1" lang="ja-JP" altLang="en-US" sz="1100"/>
            <a:t>の線付き散布図を合わせて下さい。</a:t>
          </a:r>
        </a:p>
      </xdr:txBody>
    </xdr:sp>
    <xdr:clientData/>
  </xdr:twoCellAnchor>
  <xdr:twoCellAnchor>
    <xdr:from>
      <xdr:col>5</xdr:col>
      <xdr:colOff>438150</xdr:colOff>
      <xdr:row>36</xdr:row>
      <xdr:rowOff>7620</xdr:rowOff>
    </xdr:from>
    <xdr:to>
      <xdr:col>11</xdr:col>
      <xdr:colOff>14790</xdr:colOff>
      <xdr:row>51</xdr:row>
      <xdr:rowOff>140520</xdr:rowOff>
    </xdr:to>
    <xdr:graphicFrame macro="">
      <xdr:nvGraphicFramePr>
        <xdr:cNvPr id="12" name="グラフ 11">
          <a:extLst>
            <a:ext uri="{FF2B5EF4-FFF2-40B4-BE49-F238E27FC236}">
              <a16:creationId xmlns:a16="http://schemas.microsoft.com/office/drawing/2014/main" id="{A2F21ECC-DE28-4781-B4EA-609AFEF6A0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0</xdr:rowOff>
    </xdr:from>
    <xdr:to>
      <xdr:col>8</xdr:col>
      <xdr:colOff>647700</xdr:colOff>
      <xdr:row>6</xdr:row>
      <xdr:rowOff>22860</xdr:rowOff>
    </xdr:to>
    <xdr:sp macro="" textlink="">
      <xdr:nvSpPr>
        <xdr:cNvPr id="2" name="正方形/長方形 1">
          <a:extLst>
            <a:ext uri="{FF2B5EF4-FFF2-40B4-BE49-F238E27FC236}">
              <a16:creationId xmlns:a16="http://schemas.microsoft.com/office/drawing/2014/main" id="{891734E5-5540-41B5-85D7-9C605A65E176}"/>
            </a:ext>
          </a:extLst>
        </xdr:cNvPr>
        <xdr:cNvSpPr/>
      </xdr:nvSpPr>
      <xdr:spPr>
        <a:xfrm>
          <a:off x="670560" y="228600"/>
          <a:ext cx="5341620" cy="1165860"/>
        </a:xfrm>
        <a:prstGeom prst="rect">
          <a:avLst/>
        </a:prstGeom>
        <a:solidFill>
          <a:schemeClr val="bg1"/>
        </a:solidFill>
        <a:ln w="508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167640</xdr:colOff>
      <xdr:row>1</xdr:row>
      <xdr:rowOff>76200</xdr:rowOff>
    </xdr:from>
    <xdr:to>
      <xdr:col>8</xdr:col>
      <xdr:colOff>358140</xdr:colOff>
      <xdr:row>5</xdr:row>
      <xdr:rowOff>213360</xdr:rowOff>
    </xdr:to>
    <xdr:sp macro="" textlink="">
      <xdr:nvSpPr>
        <xdr:cNvPr id="3" name="テキスト ボックス 2">
          <a:extLst>
            <a:ext uri="{FF2B5EF4-FFF2-40B4-BE49-F238E27FC236}">
              <a16:creationId xmlns:a16="http://schemas.microsoft.com/office/drawing/2014/main" id="{95E66744-9A3C-481C-88EC-516499B4B387}"/>
            </a:ext>
          </a:extLst>
        </xdr:cNvPr>
        <xdr:cNvSpPr txBox="1"/>
      </xdr:nvSpPr>
      <xdr:spPr>
        <a:xfrm>
          <a:off x="838200" y="304800"/>
          <a:ext cx="4884420" cy="1051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演習問題１</a:t>
          </a:r>
          <a:endParaRPr kumimoji="1" lang="en-US" altLang="ja-JP" sz="1100" b="1"/>
        </a:p>
        <a:p>
          <a:r>
            <a:rPr kumimoji="1" lang="ja-JP" altLang="en-US" sz="1100"/>
            <a:t>（１）次の２組の数値データの散布図を描いてみましょう。</a:t>
          </a:r>
          <a:endParaRPr kumimoji="1" lang="en-US" altLang="ja-JP" sz="1100"/>
        </a:p>
        <a:p>
          <a:endParaRPr kumimoji="1" lang="en-US" altLang="ja-JP" sz="1100"/>
        </a:p>
        <a:p>
          <a:r>
            <a:rPr kumimoji="1" lang="ja-JP" altLang="en-US" sz="1100"/>
            <a:t>（２）横変形と縦変形で図形がどのように変形するか体感してみましょう。</a:t>
          </a:r>
        </a:p>
      </xdr:txBody>
    </xdr:sp>
    <xdr:clientData/>
  </xdr:twoCellAnchor>
  <xdr:twoCellAnchor>
    <xdr:from>
      <xdr:col>5</xdr:col>
      <xdr:colOff>449580</xdr:colOff>
      <xdr:row>36</xdr:row>
      <xdr:rowOff>15240</xdr:rowOff>
    </xdr:from>
    <xdr:to>
      <xdr:col>11</xdr:col>
      <xdr:colOff>26220</xdr:colOff>
      <xdr:row>51</xdr:row>
      <xdr:rowOff>148140</xdr:rowOff>
    </xdr:to>
    <xdr:sp macro="" textlink="">
      <xdr:nvSpPr>
        <xdr:cNvPr id="4" name="正方形/長方形 3">
          <a:extLst>
            <a:ext uri="{FF2B5EF4-FFF2-40B4-BE49-F238E27FC236}">
              <a16:creationId xmlns:a16="http://schemas.microsoft.com/office/drawing/2014/main" id="{CA9E4A5D-8941-468B-A933-764E8CF4B583}"/>
            </a:ext>
          </a:extLst>
        </xdr:cNvPr>
        <xdr:cNvSpPr/>
      </xdr:nvSpPr>
      <xdr:spPr>
        <a:xfrm>
          <a:off x="3802380" y="8282940"/>
          <a:ext cx="3600000" cy="3600000"/>
        </a:xfrm>
        <a:prstGeom prst="rect">
          <a:avLst/>
        </a:prstGeom>
        <a:solidFill>
          <a:schemeClr val="bg1">
            <a:lumMod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342900</xdr:colOff>
      <xdr:row>42</xdr:row>
      <xdr:rowOff>76200</xdr:rowOff>
    </xdr:from>
    <xdr:to>
      <xdr:col>10</xdr:col>
      <xdr:colOff>175260</xdr:colOff>
      <xdr:row>44</xdr:row>
      <xdr:rowOff>167640</xdr:rowOff>
    </xdr:to>
    <xdr:sp macro="" textlink="">
      <xdr:nvSpPr>
        <xdr:cNvPr id="5" name="テキスト ボックス 4">
          <a:extLst>
            <a:ext uri="{FF2B5EF4-FFF2-40B4-BE49-F238E27FC236}">
              <a16:creationId xmlns:a16="http://schemas.microsoft.com/office/drawing/2014/main" id="{2CBF5BA8-8CF5-4A6D-9A2C-040D9EE01116}"/>
            </a:ext>
          </a:extLst>
        </xdr:cNvPr>
        <xdr:cNvSpPr txBox="1"/>
      </xdr:nvSpPr>
      <xdr:spPr>
        <a:xfrm>
          <a:off x="4366260" y="9730740"/>
          <a:ext cx="2514600" cy="563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こちらに</a:t>
          </a:r>
          <a:r>
            <a:rPr kumimoji="1" lang="en-US" altLang="ja-JP" sz="1100"/>
            <a:t>10cm×10cm</a:t>
          </a:r>
          <a:r>
            <a:rPr kumimoji="1" lang="ja-JP" altLang="en-US" sz="1100"/>
            <a:t>の線付き散布図を合わせて下さい。</a:t>
          </a:r>
        </a:p>
      </xdr:txBody>
    </xdr:sp>
    <xdr:clientData/>
  </xdr:twoCellAnchor>
  <xdr:twoCellAnchor>
    <xdr:from>
      <xdr:col>5</xdr:col>
      <xdr:colOff>659130</xdr:colOff>
      <xdr:row>10</xdr:row>
      <xdr:rowOff>7620</xdr:rowOff>
    </xdr:from>
    <xdr:to>
      <xdr:col>11</xdr:col>
      <xdr:colOff>235770</xdr:colOff>
      <xdr:row>25</xdr:row>
      <xdr:rowOff>178620</xdr:rowOff>
    </xdr:to>
    <xdr:graphicFrame macro="">
      <xdr:nvGraphicFramePr>
        <xdr:cNvPr id="6" name="グラフ 5">
          <a:extLst>
            <a:ext uri="{FF2B5EF4-FFF2-40B4-BE49-F238E27FC236}">
              <a16:creationId xmlns:a16="http://schemas.microsoft.com/office/drawing/2014/main" id="{6945686A-29B9-485C-BED6-AA3A1C5C0B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438150</xdr:colOff>
      <xdr:row>36</xdr:row>
      <xdr:rowOff>7620</xdr:rowOff>
    </xdr:from>
    <xdr:to>
      <xdr:col>11</xdr:col>
      <xdr:colOff>14790</xdr:colOff>
      <xdr:row>51</xdr:row>
      <xdr:rowOff>140520</xdr:rowOff>
    </xdr:to>
    <xdr:graphicFrame macro="">
      <xdr:nvGraphicFramePr>
        <xdr:cNvPr id="7" name="グラフ 6">
          <a:extLst>
            <a:ext uri="{FF2B5EF4-FFF2-40B4-BE49-F238E27FC236}">
              <a16:creationId xmlns:a16="http://schemas.microsoft.com/office/drawing/2014/main" id="{F2C0B145-8B43-4047-91D9-3905AD8750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23283</xdr:colOff>
      <xdr:row>9</xdr:row>
      <xdr:rowOff>218440</xdr:rowOff>
    </xdr:from>
    <xdr:to>
      <xdr:col>12</xdr:col>
      <xdr:colOff>15240</xdr:colOff>
      <xdr:row>28</xdr:row>
      <xdr:rowOff>198120</xdr:rowOff>
    </xdr:to>
    <xdr:sp macro="" textlink="">
      <xdr:nvSpPr>
        <xdr:cNvPr id="5" name="正方形/長方形 4">
          <a:extLst>
            <a:ext uri="{FF2B5EF4-FFF2-40B4-BE49-F238E27FC236}">
              <a16:creationId xmlns:a16="http://schemas.microsoft.com/office/drawing/2014/main" id="{D97FD848-BF31-489D-8EB5-DFA3B7DED399}"/>
            </a:ext>
          </a:extLst>
        </xdr:cNvPr>
        <xdr:cNvSpPr/>
      </xdr:nvSpPr>
      <xdr:spPr>
        <a:xfrm>
          <a:off x="2705523" y="2298700"/>
          <a:ext cx="5356437" cy="4330700"/>
        </a:xfrm>
        <a:prstGeom prst="rect">
          <a:avLst/>
        </a:prstGeom>
        <a:solidFill>
          <a:schemeClr val="bg1"/>
        </a:solidFill>
        <a:ln w="254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0</xdr:colOff>
      <xdr:row>1</xdr:row>
      <xdr:rowOff>0</xdr:rowOff>
    </xdr:from>
    <xdr:to>
      <xdr:col>8</xdr:col>
      <xdr:colOff>647700</xdr:colOff>
      <xdr:row>5</xdr:row>
      <xdr:rowOff>60960</xdr:rowOff>
    </xdr:to>
    <xdr:sp macro="" textlink="">
      <xdr:nvSpPr>
        <xdr:cNvPr id="12" name="正方形/長方形 11">
          <a:extLst>
            <a:ext uri="{FF2B5EF4-FFF2-40B4-BE49-F238E27FC236}">
              <a16:creationId xmlns:a16="http://schemas.microsoft.com/office/drawing/2014/main" id="{8A209C01-ED62-4732-A4CD-C67E81C16F8B}"/>
            </a:ext>
          </a:extLst>
        </xdr:cNvPr>
        <xdr:cNvSpPr/>
      </xdr:nvSpPr>
      <xdr:spPr>
        <a:xfrm>
          <a:off x="670560" y="228600"/>
          <a:ext cx="5341620" cy="975360"/>
        </a:xfrm>
        <a:prstGeom prst="rect">
          <a:avLst/>
        </a:prstGeom>
        <a:solidFill>
          <a:schemeClr val="bg1"/>
        </a:solidFill>
        <a:ln w="508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167640</xdr:colOff>
      <xdr:row>1</xdr:row>
      <xdr:rowOff>76200</xdr:rowOff>
    </xdr:from>
    <xdr:to>
      <xdr:col>8</xdr:col>
      <xdr:colOff>358140</xdr:colOff>
      <xdr:row>5</xdr:row>
      <xdr:rowOff>213360</xdr:rowOff>
    </xdr:to>
    <xdr:sp macro="" textlink="">
      <xdr:nvSpPr>
        <xdr:cNvPr id="13" name="テキスト ボックス 12">
          <a:extLst>
            <a:ext uri="{FF2B5EF4-FFF2-40B4-BE49-F238E27FC236}">
              <a16:creationId xmlns:a16="http://schemas.microsoft.com/office/drawing/2014/main" id="{8BB5D299-B9DA-47E5-BE49-3FAE6639BD51}"/>
            </a:ext>
          </a:extLst>
        </xdr:cNvPr>
        <xdr:cNvSpPr txBox="1"/>
      </xdr:nvSpPr>
      <xdr:spPr>
        <a:xfrm>
          <a:off x="838200" y="304800"/>
          <a:ext cx="4884420" cy="1051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演習問題２</a:t>
          </a:r>
          <a:endParaRPr kumimoji="1" lang="en-US" altLang="ja-JP" sz="1100" b="1"/>
        </a:p>
        <a:p>
          <a:r>
            <a:rPr kumimoji="1" lang="en-US" altLang="ja-JP" sz="1100"/>
            <a:t>【</a:t>
          </a:r>
          <a:r>
            <a:rPr kumimoji="1" lang="ja-JP" altLang="en-US" sz="1100"/>
            <a:t>演習問題１</a:t>
          </a:r>
          <a:r>
            <a:rPr kumimoji="1" lang="en-US" altLang="ja-JP" sz="1100"/>
            <a:t>】</a:t>
          </a:r>
          <a:r>
            <a:rPr kumimoji="1" lang="ja-JP" altLang="en-US" sz="1100"/>
            <a:t>の図形をコピーしてタイリングをしてみましょう。</a:t>
          </a:r>
          <a:endParaRPr kumimoji="1" lang="en-US" altLang="ja-JP" sz="1100"/>
        </a:p>
        <a:p>
          <a:r>
            <a:rPr kumimoji="1" lang="ja-JP" altLang="en-US" sz="1100"/>
            <a:t>縦・横の変形を施してもタイリングされていることを確認しましょう。</a:t>
          </a:r>
        </a:p>
      </xdr:txBody>
    </xdr:sp>
    <xdr:clientData/>
  </xdr:twoCellAnchor>
  <xdr:twoCellAnchor>
    <xdr:from>
      <xdr:col>6</xdr:col>
      <xdr:colOff>625263</xdr:colOff>
      <xdr:row>17</xdr:row>
      <xdr:rowOff>218440</xdr:rowOff>
    </xdr:from>
    <xdr:to>
      <xdr:col>11</xdr:col>
      <xdr:colOff>152463</xdr:colOff>
      <xdr:row>29</xdr:row>
      <xdr:rowOff>35560</xdr:rowOff>
    </xdr:to>
    <xdr:graphicFrame macro="">
      <xdr:nvGraphicFramePr>
        <xdr:cNvPr id="23" name="グラフ 22">
          <a:extLst>
            <a:ext uri="{FF2B5EF4-FFF2-40B4-BE49-F238E27FC236}">
              <a16:creationId xmlns:a16="http://schemas.microsoft.com/office/drawing/2014/main" id="{6196D173-53ED-45C8-87E9-A280A560F7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377190</xdr:colOff>
      <xdr:row>10</xdr:row>
      <xdr:rowOff>160020</xdr:rowOff>
    </xdr:from>
    <xdr:to>
      <xdr:col>8</xdr:col>
      <xdr:colOff>574950</xdr:colOff>
      <xdr:row>21</xdr:row>
      <xdr:rowOff>167640</xdr:rowOff>
    </xdr:to>
    <xdr:graphicFrame macro="">
      <xdr:nvGraphicFramePr>
        <xdr:cNvPr id="2" name="グラフ 1">
          <a:extLst>
            <a:ext uri="{FF2B5EF4-FFF2-40B4-BE49-F238E27FC236}">
              <a16:creationId xmlns:a16="http://schemas.microsoft.com/office/drawing/2014/main" id="{B2138103-3F85-4274-87F4-98407F8847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23283</xdr:colOff>
      <xdr:row>9</xdr:row>
      <xdr:rowOff>218440</xdr:rowOff>
    </xdr:from>
    <xdr:to>
      <xdr:col>12</xdr:col>
      <xdr:colOff>15240</xdr:colOff>
      <xdr:row>28</xdr:row>
      <xdr:rowOff>198120</xdr:rowOff>
    </xdr:to>
    <xdr:sp macro="" textlink="">
      <xdr:nvSpPr>
        <xdr:cNvPr id="2" name="正方形/長方形 1">
          <a:extLst>
            <a:ext uri="{FF2B5EF4-FFF2-40B4-BE49-F238E27FC236}">
              <a16:creationId xmlns:a16="http://schemas.microsoft.com/office/drawing/2014/main" id="{F6D2B056-F07D-41B7-912B-403E5786B75D}"/>
            </a:ext>
          </a:extLst>
        </xdr:cNvPr>
        <xdr:cNvSpPr/>
      </xdr:nvSpPr>
      <xdr:spPr>
        <a:xfrm>
          <a:off x="2705523" y="2298700"/>
          <a:ext cx="5356437" cy="4330700"/>
        </a:xfrm>
        <a:prstGeom prst="rect">
          <a:avLst/>
        </a:prstGeom>
        <a:solidFill>
          <a:schemeClr val="bg1"/>
        </a:solidFill>
        <a:ln w="254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0</xdr:colOff>
      <xdr:row>1</xdr:row>
      <xdr:rowOff>0</xdr:rowOff>
    </xdr:from>
    <xdr:to>
      <xdr:col>8</xdr:col>
      <xdr:colOff>647700</xdr:colOff>
      <xdr:row>5</xdr:row>
      <xdr:rowOff>60960</xdr:rowOff>
    </xdr:to>
    <xdr:sp macro="" textlink="">
      <xdr:nvSpPr>
        <xdr:cNvPr id="3" name="正方形/長方形 2">
          <a:extLst>
            <a:ext uri="{FF2B5EF4-FFF2-40B4-BE49-F238E27FC236}">
              <a16:creationId xmlns:a16="http://schemas.microsoft.com/office/drawing/2014/main" id="{B66C39CA-10BA-4359-AE83-4D0C92C32DEF}"/>
            </a:ext>
          </a:extLst>
        </xdr:cNvPr>
        <xdr:cNvSpPr/>
      </xdr:nvSpPr>
      <xdr:spPr>
        <a:xfrm>
          <a:off x="670560" y="228600"/>
          <a:ext cx="5341620" cy="975360"/>
        </a:xfrm>
        <a:prstGeom prst="rect">
          <a:avLst/>
        </a:prstGeom>
        <a:solidFill>
          <a:schemeClr val="bg1"/>
        </a:solidFill>
        <a:ln w="508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167640</xdr:colOff>
      <xdr:row>1</xdr:row>
      <xdr:rowOff>76200</xdr:rowOff>
    </xdr:from>
    <xdr:to>
      <xdr:col>8</xdr:col>
      <xdr:colOff>358140</xdr:colOff>
      <xdr:row>5</xdr:row>
      <xdr:rowOff>213360</xdr:rowOff>
    </xdr:to>
    <xdr:sp macro="" textlink="">
      <xdr:nvSpPr>
        <xdr:cNvPr id="4" name="テキスト ボックス 3">
          <a:extLst>
            <a:ext uri="{FF2B5EF4-FFF2-40B4-BE49-F238E27FC236}">
              <a16:creationId xmlns:a16="http://schemas.microsoft.com/office/drawing/2014/main" id="{AC57FFDD-1980-498C-9F10-A08777560FD5}"/>
            </a:ext>
          </a:extLst>
        </xdr:cNvPr>
        <xdr:cNvSpPr txBox="1"/>
      </xdr:nvSpPr>
      <xdr:spPr>
        <a:xfrm>
          <a:off x="838200" y="304800"/>
          <a:ext cx="4884420" cy="1051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演習問題２</a:t>
          </a:r>
          <a:endParaRPr kumimoji="1" lang="en-US" altLang="ja-JP" sz="1100" b="1"/>
        </a:p>
        <a:p>
          <a:r>
            <a:rPr kumimoji="1" lang="en-US" altLang="ja-JP" sz="1100"/>
            <a:t>【</a:t>
          </a:r>
          <a:r>
            <a:rPr kumimoji="1" lang="ja-JP" altLang="en-US" sz="1100"/>
            <a:t>演習問題１</a:t>
          </a:r>
          <a:r>
            <a:rPr kumimoji="1" lang="en-US" altLang="ja-JP" sz="1100"/>
            <a:t>】</a:t>
          </a:r>
          <a:r>
            <a:rPr kumimoji="1" lang="ja-JP" altLang="en-US" sz="1100"/>
            <a:t>の図形をコピーしてタイリングをしてみましょう。</a:t>
          </a:r>
          <a:endParaRPr kumimoji="1" lang="en-US" altLang="ja-JP" sz="1100"/>
        </a:p>
        <a:p>
          <a:r>
            <a:rPr kumimoji="1" lang="ja-JP" altLang="en-US" sz="1100"/>
            <a:t>縦・横の変形を施してもタイリングされていることを確認しましょう。</a:t>
          </a:r>
        </a:p>
      </xdr:txBody>
    </xdr:sp>
    <xdr:clientData/>
  </xdr:twoCellAnchor>
  <xdr:twoCellAnchor>
    <xdr:from>
      <xdr:col>4</xdr:col>
      <xdr:colOff>247650</xdr:colOff>
      <xdr:row>9</xdr:row>
      <xdr:rowOff>213360</xdr:rowOff>
    </xdr:from>
    <xdr:to>
      <xdr:col>8</xdr:col>
      <xdr:colOff>445410</xdr:colOff>
      <xdr:row>21</xdr:row>
      <xdr:rowOff>45720</xdr:rowOff>
    </xdr:to>
    <xdr:graphicFrame macro="">
      <xdr:nvGraphicFramePr>
        <xdr:cNvPr id="5" name="グラフ 4">
          <a:extLst>
            <a:ext uri="{FF2B5EF4-FFF2-40B4-BE49-F238E27FC236}">
              <a16:creationId xmlns:a16="http://schemas.microsoft.com/office/drawing/2014/main" id="{A95C2526-E8DC-4CBB-B08D-C40D6AAC2C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442383</xdr:colOff>
      <xdr:row>9</xdr:row>
      <xdr:rowOff>218440</xdr:rowOff>
    </xdr:from>
    <xdr:to>
      <xdr:col>9</xdr:col>
      <xdr:colOff>640143</xdr:colOff>
      <xdr:row>21</xdr:row>
      <xdr:rowOff>50800</xdr:rowOff>
    </xdr:to>
    <xdr:graphicFrame macro="">
      <xdr:nvGraphicFramePr>
        <xdr:cNvPr id="6" name="グラフ 5">
          <a:extLst>
            <a:ext uri="{FF2B5EF4-FFF2-40B4-BE49-F238E27FC236}">
              <a16:creationId xmlns:a16="http://schemas.microsoft.com/office/drawing/2014/main" id="{6E9DAF1B-5E66-42B1-92B6-CFF783A0C3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244263</xdr:colOff>
      <xdr:row>13</xdr:row>
      <xdr:rowOff>218440</xdr:rowOff>
    </xdr:from>
    <xdr:to>
      <xdr:col>8</xdr:col>
      <xdr:colOff>442023</xdr:colOff>
      <xdr:row>25</xdr:row>
      <xdr:rowOff>43180</xdr:rowOff>
    </xdr:to>
    <xdr:graphicFrame macro="">
      <xdr:nvGraphicFramePr>
        <xdr:cNvPr id="7" name="グラフ 6">
          <a:extLst>
            <a:ext uri="{FF2B5EF4-FFF2-40B4-BE49-F238E27FC236}">
              <a16:creationId xmlns:a16="http://schemas.microsoft.com/office/drawing/2014/main" id="{280B6DCB-B010-4629-9220-23AF586210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434763</xdr:colOff>
      <xdr:row>13</xdr:row>
      <xdr:rowOff>218440</xdr:rowOff>
    </xdr:from>
    <xdr:to>
      <xdr:col>9</xdr:col>
      <xdr:colOff>632523</xdr:colOff>
      <xdr:row>25</xdr:row>
      <xdr:rowOff>43180</xdr:rowOff>
    </xdr:to>
    <xdr:graphicFrame macro="">
      <xdr:nvGraphicFramePr>
        <xdr:cNvPr id="8" name="グラフ 7">
          <a:extLst>
            <a:ext uri="{FF2B5EF4-FFF2-40B4-BE49-F238E27FC236}">
              <a16:creationId xmlns:a16="http://schemas.microsoft.com/office/drawing/2014/main" id="{E3E55715-C93D-4DBD-9ECB-5143766797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632883</xdr:colOff>
      <xdr:row>9</xdr:row>
      <xdr:rowOff>218440</xdr:rowOff>
    </xdr:from>
    <xdr:to>
      <xdr:col>11</xdr:col>
      <xdr:colOff>160083</xdr:colOff>
      <xdr:row>21</xdr:row>
      <xdr:rowOff>50800</xdr:rowOff>
    </xdr:to>
    <xdr:graphicFrame macro="">
      <xdr:nvGraphicFramePr>
        <xdr:cNvPr id="9" name="グラフ 8">
          <a:extLst>
            <a:ext uri="{FF2B5EF4-FFF2-40B4-BE49-F238E27FC236}">
              <a16:creationId xmlns:a16="http://schemas.microsoft.com/office/drawing/2014/main" id="{7B3B7316-D172-49BE-9598-EE55595AA0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632883</xdr:colOff>
      <xdr:row>13</xdr:row>
      <xdr:rowOff>218440</xdr:rowOff>
    </xdr:from>
    <xdr:to>
      <xdr:col>11</xdr:col>
      <xdr:colOff>160083</xdr:colOff>
      <xdr:row>25</xdr:row>
      <xdr:rowOff>43180</xdr:rowOff>
    </xdr:to>
    <xdr:graphicFrame macro="">
      <xdr:nvGraphicFramePr>
        <xdr:cNvPr id="10" name="グラフ 9">
          <a:extLst>
            <a:ext uri="{FF2B5EF4-FFF2-40B4-BE49-F238E27FC236}">
              <a16:creationId xmlns:a16="http://schemas.microsoft.com/office/drawing/2014/main" id="{80D850AB-C7E4-49C6-803B-2D425CA4C3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244263</xdr:colOff>
      <xdr:row>17</xdr:row>
      <xdr:rowOff>218440</xdr:rowOff>
    </xdr:from>
    <xdr:to>
      <xdr:col>8</xdr:col>
      <xdr:colOff>442023</xdr:colOff>
      <xdr:row>29</xdr:row>
      <xdr:rowOff>35560</xdr:rowOff>
    </xdr:to>
    <xdr:graphicFrame macro="">
      <xdr:nvGraphicFramePr>
        <xdr:cNvPr id="11" name="グラフ 10">
          <a:extLst>
            <a:ext uri="{FF2B5EF4-FFF2-40B4-BE49-F238E27FC236}">
              <a16:creationId xmlns:a16="http://schemas.microsoft.com/office/drawing/2014/main" id="{0FCABF1D-270B-488A-9933-A04F55EA4D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434763</xdr:colOff>
      <xdr:row>17</xdr:row>
      <xdr:rowOff>218440</xdr:rowOff>
    </xdr:from>
    <xdr:to>
      <xdr:col>9</xdr:col>
      <xdr:colOff>632523</xdr:colOff>
      <xdr:row>29</xdr:row>
      <xdr:rowOff>35560</xdr:rowOff>
    </xdr:to>
    <xdr:graphicFrame macro="">
      <xdr:nvGraphicFramePr>
        <xdr:cNvPr id="12" name="グラフ 11">
          <a:extLst>
            <a:ext uri="{FF2B5EF4-FFF2-40B4-BE49-F238E27FC236}">
              <a16:creationId xmlns:a16="http://schemas.microsoft.com/office/drawing/2014/main" id="{353E350F-9863-4059-A04D-38EB57B055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625263</xdr:colOff>
      <xdr:row>17</xdr:row>
      <xdr:rowOff>218440</xdr:rowOff>
    </xdr:from>
    <xdr:to>
      <xdr:col>11</xdr:col>
      <xdr:colOff>152463</xdr:colOff>
      <xdr:row>29</xdr:row>
      <xdr:rowOff>35560</xdr:rowOff>
    </xdr:to>
    <xdr:graphicFrame macro="">
      <xdr:nvGraphicFramePr>
        <xdr:cNvPr id="13" name="グラフ 12">
          <a:extLst>
            <a:ext uri="{FF2B5EF4-FFF2-40B4-BE49-F238E27FC236}">
              <a16:creationId xmlns:a16="http://schemas.microsoft.com/office/drawing/2014/main" id="{AD560CFA-D69D-4EE5-B68A-96ECB56DA6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381000</xdr:colOff>
      <xdr:row>25</xdr:row>
      <xdr:rowOff>152400</xdr:rowOff>
    </xdr:from>
    <xdr:to>
      <xdr:col>3</xdr:col>
      <xdr:colOff>556260</xdr:colOff>
      <xdr:row>27</xdr:row>
      <xdr:rowOff>91440</xdr:rowOff>
    </xdr:to>
    <xdr:sp macro="" textlink="">
      <xdr:nvSpPr>
        <xdr:cNvPr id="3" name="テキスト ボックス 2">
          <a:extLst>
            <a:ext uri="{FF2B5EF4-FFF2-40B4-BE49-F238E27FC236}">
              <a16:creationId xmlns:a16="http://schemas.microsoft.com/office/drawing/2014/main" id="{D83BA2D6-BDAB-46B9-9AE5-C551DB145C3F}"/>
            </a:ext>
          </a:extLst>
        </xdr:cNvPr>
        <xdr:cNvSpPr txBox="1"/>
      </xdr:nvSpPr>
      <xdr:spPr>
        <a:xfrm>
          <a:off x="1722120" y="5212080"/>
          <a:ext cx="1082040" cy="396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600" b="1"/>
            <a:t>60°</a:t>
          </a:r>
          <a:r>
            <a:rPr kumimoji="1" lang="ja-JP" altLang="en-US" sz="1600" b="1"/>
            <a:t>回転</a:t>
          </a:r>
        </a:p>
      </xdr:txBody>
    </xdr:sp>
    <xdr:clientData/>
  </xdr:twoCellAnchor>
  <xdr:twoCellAnchor>
    <xdr:from>
      <xdr:col>2</xdr:col>
      <xdr:colOff>281940</xdr:colOff>
      <xdr:row>37</xdr:row>
      <xdr:rowOff>45720</xdr:rowOff>
    </xdr:from>
    <xdr:to>
      <xdr:col>3</xdr:col>
      <xdr:colOff>609600</xdr:colOff>
      <xdr:row>38</xdr:row>
      <xdr:rowOff>213360</xdr:rowOff>
    </xdr:to>
    <xdr:sp macro="" textlink="">
      <xdr:nvSpPr>
        <xdr:cNvPr id="4" name="テキスト ボックス 3">
          <a:extLst>
            <a:ext uri="{FF2B5EF4-FFF2-40B4-BE49-F238E27FC236}">
              <a16:creationId xmlns:a16="http://schemas.microsoft.com/office/drawing/2014/main" id="{DB383387-EDD0-4730-AB7F-D923E464C6BD}"/>
            </a:ext>
          </a:extLst>
        </xdr:cNvPr>
        <xdr:cNvSpPr txBox="1"/>
      </xdr:nvSpPr>
      <xdr:spPr>
        <a:xfrm>
          <a:off x="1623060" y="7856220"/>
          <a:ext cx="1234440" cy="396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600" b="1"/>
            <a:t>120°</a:t>
          </a:r>
          <a:r>
            <a:rPr kumimoji="1" lang="ja-JP" altLang="en-US" sz="1600" b="1"/>
            <a:t>回転</a:t>
          </a:r>
        </a:p>
      </xdr:txBody>
    </xdr:sp>
    <xdr:clientData/>
  </xdr:twoCellAnchor>
  <xdr:twoCellAnchor>
    <xdr:from>
      <xdr:col>2</xdr:col>
      <xdr:colOff>289560</xdr:colOff>
      <xdr:row>48</xdr:row>
      <xdr:rowOff>45720</xdr:rowOff>
    </xdr:from>
    <xdr:to>
      <xdr:col>3</xdr:col>
      <xdr:colOff>617220</xdr:colOff>
      <xdr:row>49</xdr:row>
      <xdr:rowOff>213360</xdr:rowOff>
    </xdr:to>
    <xdr:sp macro="" textlink="">
      <xdr:nvSpPr>
        <xdr:cNvPr id="5" name="テキスト ボックス 4">
          <a:extLst>
            <a:ext uri="{FF2B5EF4-FFF2-40B4-BE49-F238E27FC236}">
              <a16:creationId xmlns:a16="http://schemas.microsoft.com/office/drawing/2014/main" id="{10F640B4-685A-4F00-BC16-DE67F85E7D34}"/>
            </a:ext>
          </a:extLst>
        </xdr:cNvPr>
        <xdr:cNvSpPr txBox="1"/>
      </xdr:nvSpPr>
      <xdr:spPr>
        <a:xfrm>
          <a:off x="1630680" y="10378440"/>
          <a:ext cx="1234440" cy="396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600" b="1"/>
            <a:t>180°</a:t>
          </a:r>
          <a:r>
            <a:rPr kumimoji="1" lang="ja-JP" altLang="en-US" sz="1600" b="1"/>
            <a:t>回転</a:t>
          </a:r>
        </a:p>
      </xdr:txBody>
    </xdr:sp>
    <xdr:clientData/>
  </xdr:twoCellAnchor>
  <xdr:twoCellAnchor>
    <xdr:from>
      <xdr:col>2</xdr:col>
      <xdr:colOff>297180</xdr:colOff>
      <xdr:row>59</xdr:row>
      <xdr:rowOff>30480</xdr:rowOff>
    </xdr:from>
    <xdr:to>
      <xdr:col>3</xdr:col>
      <xdr:colOff>586740</xdr:colOff>
      <xdr:row>60</xdr:row>
      <xdr:rowOff>198120</xdr:rowOff>
    </xdr:to>
    <xdr:sp macro="" textlink="">
      <xdr:nvSpPr>
        <xdr:cNvPr id="6" name="テキスト ボックス 5">
          <a:extLst>
            <a:ext uri="{FF2B5EF4-FFF2-40B4-BE49-F238E27FC236}">
              <a16:creationId xmlns:a16="http://schemas.microsoft.com/office/drawing/2014/main" id="{F36E0836-0BCE-4BC2-90E6-30649D2340EE}"/>
            </a:ext>
          </a:extLst>
        </xdr:cNvPr>
        <xdr:cNvSpPr txBox="1"/>
      </xdr:nvSpPr>
      <xdr:spPr>
        <a:xfrm>
          <a:off x="1638300" y="12885420"/>
          <a:ext cx="1196340" cy="396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600" b="1"/>
            <a:t>240°</a:t>
          </a:r>
          <a:r>
            <a:rPr kumimoji="1" lang="ja-JP" altLang="en-US" sz="1600" b="1"/>
            <a:t>回転</a:t>
          </a:r>
        </a:p>
      </xdr:txBody>
    </xdr:sp>
    <xdr:clientData/>
  </xdr:twoCellAnchor>
  <xdr:twoCellAnchor>
    <xdr:from>
      <xdr:col>2</xdr:col>
      <xdr:colOff>289560</xdr:colOff>
      <xdr:row>70</xdr:row>
      <xdr:rowOff>38100</xdr:rowOff>
    </xdr:from>
    <xdr:to>
      <xdr:col>3</xdr:col>
      <xdr:colOff>601980</xdr:colOff>
      <xdr:row>71</xdr:row>
      <xdr:rowOff>205740</xdr:rowOff>
    </xdr:to>
    <xdr:sp macro="" textlink="">
      <xdr:nvSpPr>
        <xdr:cNvPr id="7" name="テキスト ボックス 6">
          <a:extLst>
            <a:ext uri="{FF2B5EF4-FFF2-40B4-BE49-F238E27FC236}">
              <a16:creationId xmlns:a16="http://schemas.microsoft.com/office/drawing/2014/main" id="{84E921FE-C9E1-4C81-AF48-5893931E6E91}"/>
            </a:ext>
          </a:extLst>
        </xdr:cNvPr>
        <xdr:cNvSpPr txBox="1"/>
      </xdr:nvSpPr>
      <xdr:spPr>
        <a:xfrm>
          <a:off x="1630680" y="15415260"/>
          <a:ext cx="1219200" cy="396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600" b="1"/>
            <a:t>300°</a:t>
          </a:r>
          <a:r>
            <a:rPr kumimoji="1" lang="ja-JP" altLang="en-US" sz="1600" b="1"/>
            <a:t>回転</a:t>
          </a:r>
        </a:p>
      </xdr:txBody>
    </xdr:sp>
    <xdr:clientData/>
  </xdr:twoCellAnchor>
  <xdr:twoCellAnchor>
    <xdr:from>
      <xdr:col>1</xdr:col>
      <xdr:colOff>0</xdr:colOff>
      <xdr:row>1</xdr:row>
      <xdr:rowOff>0</xdr:rowOff>
    </xdr:from>
    <xdr:to>
      <xdr:col>8</xdr:col>
      <xdr:colOff>236220</xdr:colOff>
      <xdr:row>5</xdr:row>
      <xdr:rowOff>60960</xdr:rowOff>
    </xdr:to>
    <xdr:sp macro="" textlink="">
      <xdr:nvSpPr>
        <xdr:cNvPr id="10" name="正方形/長方形 9">
          <a:extLst>
            <a:ext uri="{FF2B5EF4-FFF2-40B4-BE49-F238E27FC236}">
              <a16:creationId xmlns:a16="http://schemas.microsoft.com/office/drawing/2014/main" id="{E4AAF5A6-DAA3-46E4-A794-A69D99B5F6E3}"/>
            </a:ext>
          </a:extLst>
        </xdr:cNvPr>
        <xdr:cNvSpPr/>
      </xdr:nvSpPr>
      <xdr:spPr>
        <a:xfrm>
          <a:off x="670560" y="228600"/>
          <a:ext cx="5341620" cy="975360"/>
        </a:xfrm>
        <a:prstGeom prst="rect">
          <a:avLst/>
        </a:prstGeom>
        <a:solidFill>
          <a:schemeClr val="bg1"/>
        </a:solidFill>
        <a:ln w="508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167640</xdr:colOff>
      <xdr:row>1</xdr:row>
      <xdr:rowOff>76200</xdr:rowOff>
    </xdr:from>
    <xdr:to>
      <xdr:col>7</xdr:col>
      <xdr:colOff>617220</xdr:colOff>
      <xdr:row>5</xdr:row>
      <xdr:rowOff>213360</xdr:rowOff>
    </xdr:to>
    <xdr:sp macro="" textlink="">
      <xdr:nvSpPr>
        <xdr:cNvPr id="11" name="テキスト ボックス 10">
          <a:extLst>
            <a:ext uri="{FF2B5EF4-FFF2-40B4-BE49-F238E27FC236}">
              <a16:creationId xmlns:a16="http://schemas.microsoft.com/office/drawing/2014/main" id="{DA890FD2-D22A-45FA-9F94-982A0B798042}"/>
            </a:ext>
          </a:extLst>
        </xdr:cNvPr>
        <xdr:cNvSpPr txBox="1"/>
      </xdr:nvSpPr>
      <xdr:spPr>
        <a:xfrm>
          <a:off x="838200" y="304800"/>
          <a:ext cx="4884420" cy="1051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演習問題３</a:t>
          </a:r>
          <a:endParaRPr kumimoji="1" lang="en-US" altLang="ja-JP" sz="1100" b="1"/>
        </a:p>
        <a:p>
          <a:r>
            <a:rPr kumimoji="1" lang="ja-JP" altLang="en-US" sz="1100"/>
            <a:t>基本領域を回転させて、万華鏡を作ってみましょう。</a:t>
          </a:r>
        </a:p>
      </xdr:txBody>
    </xdr:sp>
    <xdr:clientData/>
  </xdr:twoCellAnchor>
  <xdr:twoCellAnchor>
    <xdr:from>
      <xdr:col>6</xdr:col>
      <xdr:colOff>76200</xdr:colOff>
      <xdr:row>14</xdr:row>
      <xdr:rowOff>60960</xdr:rowOff>
    </xdr:from>
    <xdr:to>
      <xdr:col>7</xdr:col>
      <xdr:colOff>419100</xdr:colOff>
      <xdr:row>16</xdr:row>
      <xdr:rowOff>0</xdr:rowOff>
    </xdr:to>
    <xdr:sp macro="" textlink="">
      <xdr:nvSpPr>
        <xdr:cNvPr id="12" name="テキスト ボックス 11">
          <a:extLst>
            <a:ext uri="{FF2B5EF4-FFF2-40B4-BE49-F238E27FC236}">
              <a16:creationId xmlns:a16="http://schemas.microsoft.com/office/drawing/2014/main" id="{4A20E0E2-447E-48BE-8D59-EAECBE3EBA67}"/>
            </a:ext>
          </a:extLst>
        </xdr:cNvPr>
        <xdr:cNvSpPr txBox="1"/>
      </xdr:nvSpPr>
      <xdr:spPr>
        <a:xfrm>
          <a:off x="4572000" y="3284220"/>
          <a:ext cx="1013460" cy="396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b="1">
              <a:solidFill>
                <a:srgbClr val="FF0000"/>
              </a:solidFill>
            </a:rPr>
            <a:t>←基本領域</a:t>
          </a:r>
        </a:p>
      </xdr:txBody>
    </xdr:sp>
    <xdr:clientData/>
  </xdr:twoCellAnchor>
  <xdr:twoCellAnchor>
    <xdr:from>
      <xdr:col>3</xdr:col>
      <xdr:colOff>899160</xdr:colOff>
      <xdr:row>9</xdr:row>
      <xdr:rowOff>228600</xdr:rowOff>
    </xdr:from>
    <xdr:to>
      <xdr:col>5</xdr:col>
      <xdr:colOff>662940</xdr:colOff>
      <xdr:row>20</xdr:row>
      <xdr:rowOff>228600</xdr:rowOff>
    </xdr:to>
    <xdr:sp macro="" textlink="">
      <xdr:nvSpPr>
        <xdr:cNvPr id="13" name="正方形/長方形 12">
          <a:extLst>
            <a:ext uri="{FF2B5EF4-FFF2-40B4-BE49-F238E27FC236}">
              <a16:creationId xmlns:a16="http://schemas.microsoft.com/office/drawing/2014/main" id="{443ECC3F-4259-4666-BE27-B9546FC00AA7}"/>
            </a:ext>
          </a:extLst>
        </xdr:cNvPr>
        <xdr:cNvSpPr/>
      </xdr:nvSpPr>
      <xdr:spPr>
        <a:xfrm>
          <a:off x="3147060" y="2293620"/>
          <a:ext cx="1341120" cy="252984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190500</xdr:colOff>
      <xdr:row>21</xdr:row>
      <xdr:rowOff>22860</xdr:rowOff>
    </xdr:from>
    <xdr:to>
      <xdr:col>3</xdr:col>
      <xdr:colOff>853440</xdr:colOff>
      <xdr:row>22</xdr:row>
      <xdr:rowOff>7620</xdr:rowOff>
    </xdr:to>
    <xdr:sp macro="" textlink="">
      <xdr:nvSpPr>
        <xdr:cNvPr id="14" name="テキスト ボックス 13">
          <a:extLst>
            <a:ext uri="{FF2B5EF4-FFF2-40B4-BE49-F238E27FC236}">
              <a16:creationId xmlns:a16="http://schemas.microsoft.com/office/drawing/2014/main" id="{AFA62DA6-9999-43AA-BBB7-EC1C48761CDF}"/>
            </a:ext>
          </a:extLst>
        </xdr:cNvPr>
        <xdr:cNvSpPr txBox="1"/>
      </xdr:nvSpPr>
      <xdr:spPr>
        <a:xfrm>
          <a:off x="1531620" y="4853940"/>
          <a:ext cx="1569720" cy="213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b="1">
              <a:solidFill>
                <a:srgbClr val="FF0000"/>
              </a:solidFill>
            </a:rPr>
            <a:t>下までコピーしましょう→</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381000</xdr:colOff>
      <xdr:row>25</xdr:row>
      <xdr:rowOff>152400</xdr:rowOff>
    </xdr:from>
    <xdr:to>
      <xdr:col>3</xdr:col>
      <xdr:colOff>556260</xdr:colOff>
      <xdr:row>27</xdr:row>
      <xdr:rowOff>91440</xdr:rowOff>
    </xdr:to>
    <xdr:sp macro="" textlink="">
      <xdr:nvSpPr>
        <xdr:cNvPr id="2" name="テキスト ボックス 1">
          <a:extLst>
            <a:ext uri="{FF2B5EF4-FFF2-40B4-BE49-F238E27FC236}">
              <a16:creationId xmlns:a16="http://schemas.microsoft.com/office/drawing/2014/main" id="{EE137A42-A14B-4CD3-8720-03ECB9314BD0}"/>
            </a:ext>
          </a:extLst>
        </xdr:cNvPr>
        <xdr:cNvSpPr txBox="1"/>
      </xdr:nvSpPr>
      <xdr:spPr>
        <a:xfrm>
          <a:off x="1722120" y="5897880"/>
          <a:ext cx="1082040" cy="396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600" b="1"/>
            <a:t>60°</a:t>
          </a:r>
          <a:r>
            <a:rPr kumimoji="1" lang="ja-JP" altLang="en-US" sz="1600" b="1"/>
            <a:t>回転</a:t>
          </a:r>
        </a:p>
      </xdr:txBody>
    </xdr:sp>
    <xdr:clientData/>
  </xdr:twoCellAnchor>
  <xdr:twoCellAnchor>
    <xdr:from>
      <xdr:col>2</xdr:col>
      <xdr:colOff>281940</xdr:colOff>
      <xdr:row>37</xdr:row>
      <xdr:rowOff>45720</xdr:rowOff>
    </xdr:from>
    <xdr:to>
      <xdr:col>3</xdr:col>
      <xdr:colOff>609600</xdr:colOff>
      <xdr:row>38</xdr:row>
      <xdr:rowOff>213360</xdr:rowOff>
    </xdr:to>
    <xdr:sp macro="" textlink="">
      <xdr:nvSpPr>
        <xdr:cNvPr id="3" name="テキスト ボックス 2">
          <a:extLst>
            <a:ext uri="{FF2B5EF4-FFF2-40B4-BE49-F238E27FC236}">
              <a16:creationId xmlns:a16="http://schemas.microsoft.com/office/drawing/2014/main" id="{AB93091B-5A36-48B4-AD0A-CC7CE66350FE}"/>
            </a:ext>
          </a:extLst>
        </xdr:cNvPr>
        <xdr:cNvSpPr txBox="1"/>
      </xdr:nvSpPr>
      <xdr:spPr>
        <a:xfrm>
          <a:off x="1623060" y="8542020"/>
          <a:ext cx="1234440" cy="396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600" b="1"/>
            <a:t>120°</a:t>
          </a:r>
          <a:r>
            <a:rPr kumimoji="1" lang="ja-JP" altLang="en-US" sz="1600" b="1"/>
            <a:t>回転</a:t>
          </a:r>
        </a:p>
      </xdr:txBody>
    </xdr:sp>
    <xdr:clientData/>
  </xdr:twoCellAnchor>
  <xdr:twoCellAnchor>
    <xdr:from>
      <xdr:col>2</xdr:col>
      <xdr:colOff>289560</xdr:colOff>
      <xdr:row>48</xdr:row>
      <xdr:rowOff>45720</xdr:rowOff>
    </xdr:from>
    <xdr:to>
      <xdr:col>3</xdr:col>
      <xdr:colOff>617220</xdr:colOff>
      <xdr:row>49</xdr:row>
      <xdr:rowOff>213360</xdr:rowOff>
    </xdr:to>
    <xdr:sp macro="" textlink="">
      <xdr:nvSpPr>
        <xdr:cNvPr id="4" name="テキスト ボックス 3">
          <a:extLst>
            <a:ext uri="{FF2B5EF4-FFF2-40B4-BE49-F238E27FC236}">
              <a16:creationId xmlns:a16="http://schemas.microsoft.com/office/drawing/2014/main" id="{E2C80B73-F9BE-466C-8D17-CCB56912DF56}"/>
            </a:ext>
          </a:extLst>
        </xdr:cNvPr>
        <xdr:cNvSpPr txBox="1"/>
      </xdr:nvSpPr>
      <xdr:spPr>
        <a:xfrm>
          <a:off x="1630680" y="11064240"/>
          <a:ext cx="1234440" cy="396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600" b="1"/>
            <a:t>180°</a:t>
          </a:r>
          <a:r>
            <a:rPr kumimoji="1" lang="ja-JP" altLang="en-US" sz="1600" b="1"/>
            <a:t>回転</a:t>
          </a:r>
        </a:p>
      </xdr:txBody>
    </xdr:sp>
    <xdr:clientData/>
  </xdr:twoCellAnchor>
  <xdr:twoCellAnchor>
    <xdr:from>
      <xdr:col>2</xdr:col>
      <xdr:colOff>297180</xdr:colOff>
      <xdr:row>59</xdr:row>
      <xdr:rowOff>30480</xdr:rowOff>
    </xdr:from>
    <xdr:to>
      <xdr:col>3</xdr:col>
      <xdr:colOff>586740</xdr:colOff>
      <xdr:row>60</xdr:row>
      <xdr:rowOff>198120</xdr:rowOff>
    </xdr:to>
    <xdr:sp macro="" textlink="">
      <xdr:nvSpPr>
        <xdr:cNvPr id="5" name="テキスト ボックス 4">
          <a:extLst>
            <a:ext uri="{FF2B5EF4-FFF2-40B4-BE49-F238E27FC236}">
              <a16:creationId xmlns:a16="http://schemas.microsoft.com/office/drawing/2014/main" id="{BA9EC3E4-61DB-492D-9D33-F4C771DC89F6}"/>
            </a:ext>
          </a:extLst>
        </xdr:cNvPr>
        <xdr:cNvSpPr txBox="1"/>
      </xdr:nvSpPr>
      <xdr:spPr>
        <a:xfrm>
          <a:off x="1638300" y="13571220"/>
          <a:ext cx="1196340" cy="396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600" b="1"/>
            <a:t>240°</a:t>
          </a:r>
          <a:r>
            <a:rPr kumimoji="1" lang="ja-JP" altLang="en-US" sz="1600" b="1"/>
            <a:t>回転</a:t>
          </a:r>
        </a:p>
      </xdr:txBody>
    </xdr:sp>
    <xdr:clientData/>
  </xdr:twoCellAnchor>
  <xdr:twoCellAnchor>
    <xdr:from>
      <xdr:col>2</xdr:col>
      <xdr:colOff>289560</xdr:colOff>
      <xdr:row>70</xdr:row>
      <xdr:rowOff>38100</xdr:rowOff>
    </xdr:from>
    <xdr:to>
      <xdr:col>3</xdr:col>
      <xdr:colOff>601980</xdr:colOff>
      <xdr:row>71</xdr:row>
      <xdr:rowOff>205740</xdr:rowOff>
    </xdr:to>
    <xdr:sp macro="" textlink="">
      <xdr:nvSpPr>
        <xdr:cNvPr id="6" name="テキスト ボックス 5">
          <a:extLst>
            <a:ext uri="{FF2B5EF4-FFF2-40B4-BE49-F238E27FC236}">
              <a16:creationId xmlns:a16="http://schemas.microsoft.com/office/drawing/2014/main" id="{7287F82A-17DC-4664-A7F4-1FC987F3F489}"/>
            </a:ext>
          </a:extLst>
        </xdr:cNvPr>
        <xdr:cNvSpPr txBox="1"/>
      </xdr:nvSpPr>
      <xdr:spPr>
        <a:xfrm>
          <a:off x="1630680" y="16101060"/>
          <a:ext cx="1219200" cy="396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600" b="1"/>
            <a:t>300°</a:t>
          </a:r>
          <a:r>
            <a:rPr kumimoji="1" lang="ja-JP" altLang="en-US" sz="1600" b="1"/>
            <a:t>回転</a:t>
          </a:r>
        </a:p>
      </xdr:txBody>
    </xdr:sp>
    <xdr:clientData/>
  </xdr:twoCellAnchor>
  <xdr:twoCellAnchor>
    <xdr:from>
      <xdr:col>1</xdr:col>
      <xdr:colOff>0</xdr:colOff>
      <xdr:row>1</xdr:row>
      <xdr:rowOff>0</xdr:rowOff>
    </xdr:from>
    <xdr:to>
      <xdr:col>8</xdr:col>
      <xdr:colOff>236220</xdr:colOff>
      <xdr:row>5</xdr:row>
      <xdr:rowOff>60960</xdr:rowOff>
    </xdr:to>
    <xdr:sp macro="" textlink="">
      <xdr:nvSpPr>
        <xdr:cNvPr id="7" name="正方形/長方形 6">
          <a:extLst>
            <a:ext uri="{FF2B5EF4-FFF2-40B4-BE49-F238E27FC236}">
              <a16:creationId xmlns:a16="http://schemas.microsoft.com/office/drawing/2014/main" id="{6CDDB94E-4653-468D-9065-AD6EBF34A270}"/>
            </a:ext>
          </a:extLst>
        </xdr:cNvPr>
        <xdr:cNvSpPr/>
      </xdr:nvSpPr>
      <xdr:spPr>
        <a:xfrm>
          <a:off x="670560" y="228600"/>
          <a:ext cx="5402580" cy="975360"/>
        </a:xfrm>
        <a:prstGeom prst="rect">
          <a:avLst/>
        </a:prstGeom>
        <a:solidFill>
          <a:schemeClr val="bg1"/>
        </a:solidFill>
        <a:ln w="508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167640</xdr:colOff>
      <xdr:row>1</xdr:row>
      <xdr:rowOff>76200</xdr:rowOff>
    </xdr:from>
    <xdr:to>
      <xdr:col>7</xdr:col>
      <xdr:colOff>617220</xdr:colOff>
      <xdr:row>5</xdr:row>
      <xdr:rowOff>213360</xdr:rowOff>
    </xdr:to>
    <xdr:sp macro="" textlink="">
      <xdr:nvSpPr>
        <xdr:cNvPr id="8" name="テキスト ボックス 7">
          <a:extLst>
            <a:ext uri="{FF2B5EF4-FFF2-40B4-BE49-F238E27FC236}">
              <a16:creationId xmlns:a16="http://schemas.microsoft.com/office/drawing/2014/main" id="{29C48FC4-B4DC-4BAD-B23D-A010A2623D10}"/>
            </a:ext>
          </a:extLst>
        </xdr:cNvPr>
        <xdr:cNvSpPr txBox="1"/>
      </xdr:nvSpPr>
      <xdr:spPr>
        <a:xfrm>
          <a:off x="838200" y="304800"/>
          <a:ext cx="4945380" cy="1051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演習問題３</a:t>
          </a:r>
          <a:endParaRPr kumimoji="1" lang="en-US" altLang="ja-JP" sz="1100" b="1"/>
        </a:p>
        <a:p>
          <a:r>
            <a:rPr kumimoji="1" lang="ja-JP" altLang="en-US" sz="1100"/>
            <a:t>基本領域を回転させて、万華鏡を作ってみましょう。</a:t>
          </a:r>
        </a:p>
      </xdr:txBody>
    </xdr:sp>
    <xdr:clientData/>
  </xdr:twoCellAnchor>
  <xdr:twoCellAnchor>
    <xdr:from>
      <xdr:col>6</xdr:col>
      <xdr:colOff>76200</xdr:colOff>
      <xdr:row>14</xdr:row>
      <xdr:rowOff>60960</xdr:rowOff>
    </xdr:from>
    <xdr:to>
      <xdr:col>7</xdr:col>
      <xdr:colOff>419100</xdr:colOff>
      <xdr:row>16</xdr:row>
      <xdr:rowOff>0</xdr:rowOff>
    </xdr:to>
    <xdr:sp macro="" textlink="">
      <xdr:nvSpPr>
        <xdr:cNvPr id="9" name="テキスト ボックス 8">
          <a:extLst>
            <a:ext uri="{FF2B5EF4-FFF2-40B4-BE49-F238E27FC236}">
              <a16:creationId xmlns:a16="http://schemas.microsoft.com/office/drawing/2014/main" id="{A19C931F-48B0-4B35-B225-231529C8A8A9}"/>
            </a:ext>
          </a:extLst>
        </xdr:cNvPr>
        <xdr:cNvSpPr txBox="1"/>
      </xdr:nvSpPr>
      <xdr:spPr>
        <a:xfrm>
          <a:off x="4572000" y="3284220"/>
          <a:ext cx="1013460" cy="396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b="1">
              <a:solidFill>
                <a:srgbClr val="FF0000"/>
              </a:solidFill>
            </a:rPr>
            <a:t>←基本領域</a:t>
          </a:r>
        </a:p>
      </xdr:txBody>
    </xdr:sp>
    <xdr:clientData/>
  </xdr:twoCellAnchor>
  <xdr:twoCellAnchor>
    <xdr:from>
      <xdr:col>3</xdr:col>
      <xdr:colOff>899160</xdr:colOff>
      <xdr:row>9</xdr:row>
      <xdr:rowOff>228600</xdr:rowOff>
    </xdr:from>
    <xdr:to>
      <xdr:col>5</xdr:col>
      <xdr:colOff>662940</xdr:colOff>
      <xdr:row>20</xdr:row>
      <xdr:rowOff>228600</xdr:rowOff>
    </xdr:to>
    <xdr:sp macro="" textlink="">
      <xdr:nvSpPr>
        <xdr:cNvPr id="10" name="正方形/長方形 9">
          <a:extLst>
            <a:ext uri="{FF2B5EF4-FFF2-40B4-BE49-F238E27FC236}">
              <a16:creationId xmlns:a16="http://schemas.microsoft.com/office/drawing/2014/main" id="{72CA348F-A945-4F2E-9A73-C263C937126D}"/>
            </a:ext>
          </a:extLst>
        </xdr:cNvPr>
        <xdr:cNvSpPr/>
      </xdr:nvSpPr>
      <xdr:spPr>
        <a:xfrm>
          <a:off x="3147060" y="2293620"/>
          <a:ext cx="1341120" cy="252984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190500</xdr:colOff>
      <xdr:row>21</xdr:row>
      <xdr:rowOff>22860</xdr:rowOff>
    </xdr:from>
    <xdr:to>
      <xdr:col>3</xdr:col>
      <xdr:colOff>853440</xdr:colOff>
      <xdr:row>22</xdr:row>
      <xdr:rowOff>7620</xdr:rowOff>
    </xdr:to>
    <xdr:sp macro="" textlink="">
      <xdr:nvSpPr>
        <xdr:cNvPr id="11" name="テキスト ボックス 10">
          <a:extLst>
            <a:ext uri="{FF2B5EF4-FFF2-40B4-BE49-F238E27FC236}">
              <a16:creationId xmlns:a16="http://schemas.microsoft.com/office/drawing/2014/main" id="{9A7B77DC-6306-4994-895D-CE734BE0AF1B}"/>
            </a:ext>
          </a:extLst>
        </xdr:cNvPr>
        <xdr:cNvSpPr txBox="1"/>
      </xdr:nvSpPr>
      <xdr:spPr>
        <a:xfrm>
          <a:off x="1531620" y="4853940"/>
          <a:ext cx="1569720" cy="213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b="1">
              <a:solidFill>
                <a:srgbClr val="FF0000"/>
              </a:solidFill>
            </a:rPr>
            <a:t>下までコピーしましょう→</a:t>
          </a:r>
        </a:p>
      </xdr:txBody>
    </xdr:sp>
    <xdr:clientData/>
  </xdr:twoCellAnchor>
  <xdr:twoCellAnchor>
    <xdr:from>
      <xdr:col>8</xdr:col>
      <xdr:colOff>636270</xdr:colOff>
      <xdr:row>11</xdr:row>
      <xdr:rowOff>182880</xdr:rowOff>
    </xdr:from>
    <xdr:to>
      <xdr:col>14</xdr:col>
      <xdr:colOff>212910</xdr:colOff>
      <xdr:row>27</xdr:row>
      <xdr:rowOff>117660</xdr:rowOff>
    </xdr:to>
    <xdr:graphicFrame macro="">
      <xdr:nvGraphicFramePr>
        <xdr:cNvPr id="12" name="グラフ 11">
          <a:extLst>
            <a:ext uri="{FF2B5EF4-FFF2-40B4-BE49-F238E27FC236}">
              <a16:creationId xmlns:a16="http://schemas.microsoft.com/office/drawing/2014/main" id="{F42ECEDF-CB0C-4AEC-9165-E31771B58C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11724</xdr:colOff>
      <xdr:row>12</xdr:row>
      <xdr:rowOff>14655</xdr:rowOff>
    </xdr:from>
    <xdr:to>
      <xdr:col>15</xdr:col>
      <xdr:colOff>1</xdr:colOff>
      <xdr:row>29</xdr:row>
      <xdr:rowOff>11724</xdr:rowOff>
    </xdr:to>
    <xdr:sp macro="" textlink="">
      <xdr:nvSpPr>
        <xdr:cNvPr id="16" name="正方形/長方形 15">
          <a:extLst>
            <a:ext uri="{FF2B5EF4-FFF2-40B4-BE49-F238E27FC236}">
              <a16:creationId xmlns:a16="http://schemas.microsoft.com/office/drawing/2014/main" id="{E967F65F-53B9-44D3-9A74-3430139734AA}"/>
            </a:ext>
          </a:extLst>
        </xdr:cNvPr>
        <xdr:cNvSpPr/>
      </xdr:nvSpPr>
      <xdr:spPr>
        <a:xfrm>
          <a:off x="4689232" y="2828193"/>
          <a:ext cx="5334000" cy="398291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417653</xdr:colOff>
      <xdr:row>10</xdr:row>
      <xdr:rowOff>158284</xdr:rowOff>
    </xdr:from>
    <xdr:to>
      <xdr:col>11</xdr:col>
      <xdr:colOff>615413</xdr:colOff>
      <xdr:row>23</xdr:row>
      <xdr:rowOff>66484</xdr:rowOff>
    </xdr:to>
    <xdr:graphicFrame macro="">
      <xdr:nvGraphicFramePr>
        <xdr:cNvPr id="2" name="グラフ 1">
          <a:extLst>
            <a:ext uri="{FF2B5EF4-FFF2-40B4-BE49-F238E27FC236}">
              <a16:creationId xmlns:a16="http://schemas.microsoft.com/office/drawing/2014/main" id="{2D5DFC76-10E9-47A5-9C32-49CB0857DC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xdr:row>
      <xdr:rowOff>0</xdr:rowOff>
    </xdr:from>
    <xdr:to>
      <xdr:col>8</xdr:col>
      <xdr:colOff>647700</xdr:colOff>
      <xdr:row>5</xdr:row>
      <xdr:rowOff>60960</xdr:rowOff>
    </xdr:to>
    <xdr:sp macro="" textlink="">
      <xdr:nvSpPr>
        <xdr:cNvPr id="13" name="正方形/長方形 12">
          <a:extLst>
            <a:ext uri="{FF2B5EF4-FFF2-40B4-BE49-F238E27FC236}">
              <a16:creationId xmlns:a16="http://schemas.microsoft.com/office/drawing/2014/main" id="{DB7924CF-30DF-47E0-826F-0B216BC1A124}"/>
            </a:ext>
          </a:extLst>
        </xdr:cNvPr>
        <xdr:cNvSpPr/>
      </xdr:nvSpPr>
      <xdr:spPr>
        <a:xfrm>
          <a:off x="670560" y="228600"/>
          <a:ext cx="5341620" cy="975360"/>
        </a:xfrm>
        <a:prstGeom prst="rect">
          <a:avLst/>
        </a:prstGeom>
        <a:solidFill>
          <a:schemeClr val="bg1"/>
        </a:solidFill>
        <a:ln w="508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167640</xdr:colOff>
      <xdr:row>1</xdr:row>
      <xdr:rowOff>167640</xdr:rowOff>
    </xdr:from>
    <xdr:to>
      <xdr:col>8</xdr:col>
      <xdr:colOff>518160</xdr:colOff>
      <xdr:row>4</xdr:row>
      <xdr:rowOff>205740</xdr:rowOff>
    </xdr:to>
    <xdr:sp macro="" textlink="">
      <xdr:nvSpPr>
        <xdr:cNvPr id="14" name="テキスト ボックス 13">
          <a:extLst>
            <a:ext uri="{FF2B5EF4-FFF2-40B4-BE49-F238E27FC236}">
              <a16:creationId xmlns:a16="http://schemas.microsoft.com/office/drawing/2014/main" id="{E5F94405-40C7-4B5A-AA7C-8F510A2B034D}"/>
            </a:ext>
          </a:extLst>
        </xdr:cNvPr>
        <xdr:cNvSpPr txBox="1"/>
      </xdr:nvSpPr>
      <xdr:spPr>
        <a:xfrm>
          <a:off x="838200" y="396240"/>
          <a:ext cx="5044440"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付録</a:t>
          </a:r>
          <a:r>
            <a:rPr kumimoji="1" lang="en-US" altLang="ja-JP" sz="1100" b="1"/>
            <a:t>】</a:t>
          </a:r>
        </a:p>
        <a:p>
          <a:r>
            <a:rPr kumimoji="1" lang="ja-JP" altLang="en-US" sz="1100"/>
            <a:t>タイルの貼り付け方の異なるバージョンです。乱数を更新してみましょう。</a:t>
          </a:r>
        </a:p>
      </xdr:txBody>
    </xdr:sp>
    <xdr:clientData/>
  </xdr:twoCellAnchor>
  <xdr:twoCellAnchor>
    <xdr:from>
      <xdr:col>8</xdr:col>
      <xdr:colOff>613410</xdr:colOff>
      <xdr:row>10</xdr:row>
      <xdr:rowOff>160020</xdr:rowOff>
    </xdr:from>
    <xdr:to>
      <xdr:col>13</xdr:col>
      <xdr:colOff>140610</xdr:colOff>
      <xdr:row>23</xdr:row>
      <xdr:rowOff>68220</xdr:rowOff>
    </xdr:to>
    <xdr:graphicFrame macro="">
      <xdr:nvGraphicFramePr>
        <xdr:cNvPr id="15" name="グラフ 14">
          <a:extLst>
            <a:ext uri="{FF2B5EF4-FFF2-40B4-BE49-F238E27FC236}">
              <a16:creationId xmlns:a16="http://schemas.microsoft.com/office/drawing/2014/main" id="{F990EE63-B905-4C47-AC8B-70CDC2C197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137160</xdr:colOff>
      <xdr:row>10</xdr:row>
      <xdr:rowOff>160020</xdr:rowOff>
    </xdr:from>
    <xdr:to>
      <xdr:col>14</xdr:col>
      <xdr:colOff>334920</xdr:colOff>
      <xdr:row>23</xdr:row>
      <xdr:rowOff>68220</xdr:rowOff>
    </xdr:to>
    <xdr:graphicFrame macro="">
      <xdr:nvGraphicFramePr>
        <xdr:cNvPr id="19" name="グラフ 18">
          <a:extLst>
            <a:ext uri="{FF2B5EF4-FFF2-40B4-BE49-F238E27FC236}">
              <a16:creationId xmlns:a16="http://schemas.microsoft.com/office/drawing/2014/main" id="{2159A73E-FB5C-40F2-8801-2189F24064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419100</xdr:colOff>
      <xdr:row>14</xdr:row>
      <xdr:rowOff>106680</xdr:rowOff>
    </xdr:from>
    <xdr:to>
      <xdr:col>11</xdr:col>
      <xdr:colOff>616860</xdr:colOff>
      <xdr:row>27</xdr:row>
      <xdr:rowOff>14880</xdr:rowOff>
    </xdr:to>
    <xdr:graphicFrame macro="">
      <xdr:nvGraphicFramePr>
        <xdr:cNvPr id="20" name="グラフ 19">
          <a:extLst>
            <a:ext uri="{FF2B5EF4-FFF2-40B4-BE49-F238E27FC236}">
              <a16:creationId xmlns:a16="http://schemas.microsoft.com/office/drawing/2014/main" id="{5E8A2D53-EFF8-41F7-AB79-C62380D8F9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137160</xdr:colOff>
      <xdr:row>14</xdr:row>
      <xdr:rowOff>106680</xdr:rowOff>
    </xdr:from>
    <xdr:to>
      <xdr:col>14</xdr:col>
      <xdr:colOff>334920</xdr:colOff>
      <xdr:row>27</xdr:row>
      <xdr:rowOff>14880</xdr:rowOff>
    </xdr:to>
    <xdr:graphicFrame macro="">
      <xdr:nvGraphicFramePr>
        <xdr:cNvPr id="21" name="グラフ 20">
          <a:extLst>
            <a:ext uri="{FF2B5EF4-FFF2-40B4-BE49-F238E27FC236}">
              <a16:creationId xmlns:a16="http://schemas.microsoft.com/office/drawing/2014/main" id="{36C7F811-0C5E-482E-9D23-6065BA5CA8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609600</xdr:colOff>
      <xdr:row>14</xdr:row>
      <xdr:rowOff>106680</xdr:rowOff>
    </xdr:from>
    <xdr:to>
      <xdr:col>13</xdr:col>
      <xdr:colOff>136800</xdr:colOff>
      <xdr:row>27</xdr:row>
      <xdr:rowOff>14880</xdr:rowOff>
    </xdr:to>
    <xdr:graphicFrame macro="">
      <xdr:nvGraphicFramePr>
        <xdr:cNvPr id="24" name="グラフ 23">
          <a:extLst>
            <a:ext uri="{FF2B5EF4-FFF2-40B4-BE49-F238E27FC236}">
              <a16:creationId xmlns:a16="http://schemas.microsoft.com/office/drawing/2014/main" id="{64FE9A0B-DFD5-4273-8FD0-AA29B7FCAD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419100</xdr:colOff>
      <xdr:row>18</xdr:row>
      <xdr:rowOff>53340</xdr:rowOff>
    </xdr:from>
    <xdr:to>
      <xdr:col>11</xdr:col>
      <xdr:colOff>616860</xdr:colOff>
      <xdr:row>30</xdr:row>
      <xdr:rowOff>190140</xdr:rowOff>
    </xdr:to>
    <xdr:graphicFrame macro="">
      <xdr:nvGraphicFramePr>
        <xdr:cNvPr id="25" name="グラフ 24">
          <a:extLst>
            <a:ext uri="{FF2B5EF4-FFF2-40B4-BE49-F238E27FC236}">
              <a16:creationId xmlns:a16="http://schemas.microsoft.com/office/drawing/2014/main" id="{D32B24FB-EA88-418F-961D-49397F54EC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609600</xdr:colOff>
      <xdr:row>18</xdr:row>
      <xdr:rowOff>53340</xdr:rowOff>
    </xdr:from>
    <xdr:to>
      <xdr:col>13</xdr:col>
      <xdr:colOff>136800</xdr:colOff>
      <xdr:row>30</xdr:row>
      <xdr:rowOff>190140</xdr:rowOff>
    </xdr:to>
    <xdr:graphicFrame macro="">
      <xdr:nvGraphicFramePr>
        <xdr:cNvPr id="30" name="グラフ 29">
          <a:extLst>
            <a:ext uri="{FF2B5EF4-FFF2-40B4-BE49-F238E27FC236}">
              <a16:creationId xmlns:a16="http://schemas.microsoft.com/office/drawing/2014/main" id="{E80C9CA2-92E5-429B-8962-17A4F0FD6D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137160</xdr:colOff>
      <xdr:row>18</xdr:row>
      <xdr:rowOff>53340</xdr:rowOff>
    </xdr:from>
    <xdr:to>
      <xdr:col>14</xdr:col>
      <xdr:colOff>334920</xdr:colOff>
      <xdr:row>30</xdr:row>
      <xdr:rowOff>190140</xdr:rowOff>
    </xdr:to>
    <xdr:graphicFrame macro="">
      <xdr:nvGraphicFramePr>
        <xdr:cNvPr id="31" name="グラフ 30">
          <a:extLst>
            <a:ext uri="{FF2B5EF4-FFF2-40B4-BE49-F238E27FC236}">
              <a16:creationId xmlns:a16="http://schemas.microsoft.com/office/drawing/2014/main" id="{2FD5234C-7923-4D77-882E-56DB996532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9</xdr:col>
      <xdr:colOff>12702</xdr:colOff>
      <xdr:row>6</xdr:row>
      <xdr:rowOff>0</xdr:rowOff>
    </xdr:from>
    <xdr:to>
      <xdr:col>19</xdr:col>
      <xdr:colOff>545201</xdr:colOff>
      <xdr:row>38</xdr:row>
      <xdr:rowOff>7861</xdr:rowOff>
    </xdr:to>
    <xdr:graphicFrame macro="">
      <xdr:nvGraphicFramePr>
        <xdr:cNvPr id="2" name="グラフ 1">
          <a:extLst>
            <a:ext uri="{FF2B5EF4-FFF2-40B4-BE49-F238E27FC236}">
              <a16:creationId xmlns:a16="http://schemas.microsoft.com/office/drawing/2014/main" id="{8139479E-F891-4A47-A526-76C3CC4A48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xdr:row>
      <xdr:rowOff>0</xdr:rowOff>
    </xdr:from>
    <xdr:to>
      <xdr:col>8</xdr:col>
      <xdr:colOff>647700</xdr:colOff>
      <xdr:row>5</xdr:row>
      <xdr:rowOff>60960</xdr:rowOff>
    </xdr:to>
    <xdr:sp macro="" textlink="">
      <xdr:nvSpPr>
        <xdr:cNvPr id="3" name="正方形/長方形 2">
          <a:extLst>
            <a:ext uri="{FF2B5EF4-FFF2-40B4-BE49-F238E27FC236}">
              <a16:creationId xmlns:a16="http://schemas.microsoft.com/office/drawing/2014/main" id="{A6DD1162-02E1-43CA-8F05-C63296841698}"/>
            </a:ext>
          </a:extLst>
        </xdr:cNvPr>
        <xdr:cNvSpPr/>
      </xdr:nvSpPr>
      <xdr:spPr>
        <a:xfrm>
          <a:off x="670560" y="228600"/>
          <a:ext cx="5341620" cy="975360"/>
        </a:xfrm>
        <a:prstGeom prst="rect">
          <a:avLst/>
        </a:prstGeom>
        <a:solidFill>
          <a:schemeClr val="bg1"/>
        </a:solidFill>
        <a:ln w="50800" cmpd="dbl">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167640</xdr:colOff>
      <xdr:row>1</xdr:row>
      <xdr:rowOff>167640</xdr:rowOff>
    </xdr:from>
    <xdr:to>
      <xdr:col>8</xdr:col>
      <xdr:colOff>518160</xdr:colOff>
      <xdr:row>4</xdr:row>
      <xdr:rowOff>205740</xdr:rowOff>
    </xdr:to>
    <xdr:sp macro="" textlink="">
      <xdr:nvSpPr>
        <xdr:cNvPr id="4" name="テキスト ボックス 3">
          <a:extLst>
            <a:ext uri="{FF2B5EF4-FFF2-40B4-BE49-F238E27FC236}">
              <a16:creationId xmlns:a16="http://schemas.microsoft.com/office/drawing/2014/main" id="{383D69B9-345C-4142-A7DD-1FA31EDDC64D}"/>
            </a:ext>
          </a:extLst>
        </xdr:cNvPr>
        <xdr:cNvSpPr txBox="1"/>
      </xdr:nvSpPr>
      <xdr:spPr>
        <a:xfrm>
          <a:off x="838200" y="396240"/>
          <a:ext cx="5044440"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付録</a:t>
          </a:r>
          <a:r>
            <a:rPr kumimoji="1" lang="en-US" altLang="ja-JP" sz="1100" b="1"/>
            <a:t>】</a:t>
          </a:r>
        </a:p>
        <a:p>
          <a:r>
            <a:rPr kumimoji="1" lang="ja-JP" altLang="en-US" sz="1100"/>
            <a:t>乱数を使った万華鏡です。「</a:t>
          </a:r>
          <a:r>
            <a:rPr kumimoji="1" lang="en-US" altLang="ja-JP" sz="1100"/>
            <a:t>F9</a:t>
          </a:r>
          <a:r>
            <a:rPr kumimoji="1" lang="ja-JP" altLang="en-US" sz="1100"/>
            <a:t>キー」で更新して形の変化を楽しみましょう。</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k.okamoto/Desktop/&#25216;&#34899;&#35413;&#35542;&#31038;/&#25171;&#21512;&#12379;20201016/Excel&#12450;&#12540;&#1248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グモウスキー・ミラ写像（神話の鳥）"/>
      <sheetName val="池田写像（カオス現象）"/>
      <sheetName val="カオス現象"/>
      <sheetName val="蜘蛛の巣ダイアグラム"/>
      <sheetName val="レヴィのダスト"/>
      <sheetName val="ドラゴンカーブ"/>
      <sheetName val="シェルピンスキーカーペット"/>
      <sheetName val="黄金角"/>
      <sheetName val="ランダムウォーク"/>
      <sheetName val="一般化スピログラフ"/>
      <sheetName val="ハイポ＋トロコイド"/>
      <sheetName val="螺旋ストリングアート"/>
      <sheetName val="半径周期変動型螺旋"/>
      <sheetName val="エッシャー化"/>
      <sheetName val="ひまわりシミュレーション"/>
      <sheetName val="フルカーブ"/>
      <sheetName val="ベース変換型素数曼荼羅"/>
      <sheetName val="素数曼荼羅"/>
      <sheetName val="計算用"/>
      <sheetName val="ウラム螺旋"/>
      <sheetName val="ガウス素数"/>
      <sheetName val="Sheet2"/>
      <sheetName val="素数カレンダー"/>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4">
          <cell r="C4" t="str">
            <v>y</v>
          </cell>
        </row>
        <row r="5">
          <cell r="B5">
            <v>0.5</v>
          </cell>
          <cell r="C5">
            <v>-0.5</v>
          </cell>
        </row>
        <row r="6">
          <cell r="B6">
            <v>0.73785544803821046</v>
          </cell>
          <cell r="C6">
            <v>-0.3</v>
          </cell>
        </row>
        <row r="7">
          <cell r="B7">
            <v>0.59125272458774514</v>
          </cell>
          <cell r="C7">
            <v>-9.9999999999999978E-2</v>
          </cell>
        </row>
        <row r="8">
          <cell r="B8">
            <v>0.95620326759167962</v>
          </cell>
          <cell r="C8">
            <v>0.10000000000000003</v>
          </cell>
        </row>
        <row r="9">
          <cell r="B9">
            <v>4.2546317507703546E-2</v>
          </cell>
          <cell r="C9">
            <v>0.30000000000000004</v>
          </cell>
        </row>
        <row r="10">
          <cell r="B10">
            <v>0.5</v>
          </cell>
          <cell r="C10">
            <v>0.5</v>
          </cell>
        </row>
        <row r="11">
          <cell r="B11">
            <v>0.3</v>
          </cell>
          <cell r="C11">
            <v>0.26214455196178954</v>
          </cell>
        </row>
        <row r="12">
          <cell r="B12">
            <v>9.9999999999999978E-2</v>
          </cell>
          <cell r="C12">
            <v>0.40874727541225486</v>
          </cell>
        </row>
        <row r="13">
          <cell r="B13">
            <v>-0.10000000000000003</v>
          </cell>
          <cell r="C13">
            <v>4.3796732408320382E-2</v>
          </cell>
        </row>
        <row r="14">
          <cell r="B14">
            <v>-0.30000000000000004</v>
          </cell>
          <cell r="C14">
            <v>0.95745368249229645</v>
          </cell>
        </row>
        <row r="15">
          <cell r="B15">
            <v>-0.5</v>
          </cell>
          <cell r="C15">
            <v>0.5</v>
          </cell>
        </row>
        <row r="16">
          <cell r="B16">
            <v>-0.52827359510722993</v>
          </cell>
          <cell r="C16">
            <v>0.3</v>
          </cell>
        </row>
        <row r="17">
          <cell r="B17">
            <v>-0.94101147938965135</v>
          </cell>
          <cell r="C17">
            <v>9.9999999999999978E-2</v>
          </cell>
        </row>
        <row r="18">
          <cell r="B18">
            <v>-0.3914573420700963</v>
          </cell>
          <cell r="C18">
            <v>-0.10000000000000003</v>
          </cell>
        </row>
        <row r="19">
          <cell r="B19">
            <v>-0.23387961660898859</v>
          </cell>
          <cell r="C19">
            <v>-0.30000000000000004</v>
          </cell>
        </row>
        <row r="20">
          <cell r="B20">
            <v>-0.5</v>
          </cell>
          <cell r="C20">
            <v>-0.5</v>
          </cell>
        </row>
        <row r="21">
          <cell r="B21">
            <v>-0.3</v>
          </cell>
          <cell r="C21">
            <v>-0.47172640489277007</v>
          </cell>
        </row>
        <row r="22">
          <cell r="B22">
            <v>-9.9999999999999978E-2</v>
          </cell>
          <cell r="C22">
            <v>-5.8988520610348649E-2</v>
          </cell>
        </row>
        <row r="23">
          <cell r="B23">
            <v>0.10000000000000003</v>
          </cell>
          <cell r="C23">
            <v>-0.6085426579299037</v>
          </cell>
        </row>
        <row r="24">
          <cell r="B24">
            <v>0.30000000000000004</v>
          </cell>
          <cell r="C24">
            <v>-0.76612038339101141</v>
          </cell>
        </row>
        <row r="25">
          <cell r="B25">
            <v>0.5</v>
          </cell>
          <cell r="C25">
            <v>-0.5</v>
          </cell>
        </row>
        <row r="26">
          <cell r="B26">
            <v>2</v>
          </cell>
          <cell r="C26">
            <v>-2</v>
          </cell>
        </row>
        <row r="27">
          <cell r="B27">
            <v>2</v>
          </cell>
          <cell r="C27">
            <v>2</v>
          </cell>
        </row>
        <row r="28">
          <cell r="B28">
            <v>-2</v>
          </cell>
          <cell r="C28">
            <v>2</v>
          </cell>
        </row>
        <row r="29">
          <cell r="B29">
            <v>-2</v>
          </cell>
          <cell r="C29">
            <v>-2</v>
          </cell>
        </row>
        <row r="32">
          <cell r="C32" t="str">
            <v>y</v>
          </cell>
        </row>
        <row r="33">
          <cell r="B33">
            <v>0.5</v>
          </cell>
          <cell r="C33">
            <v>-0.5</v>
          </cell>
        </row>
        <row r="34">
          <cell r="B34">
            <v>0.3</v>
          </cell>
          <cell r="C34">
            <v>-0.73785544803821046</v>
          </cell>
        </row>
        <row r="35">
          <cell r="B35">
            <v>9.9999999999999978E-2</v>
          </cell>
          <cell r="C35">
            <v>-0.59125272458774514</v>
          </cell>
        </row>
        <row r="36">
          <cell r="B36">
            <v>-0.10000000000000003</v>
          </cell>
          <cell r="C36">
            <v>-0.95620326759167962</v>
          </cell>
        </row>
        <row r="37">
          <cell r="B37">
            <v>-0.30000000000000004</v>
          </cell>
          <cell r="C37">
            <v>-4.2546317507703546E-2</v>
          </cell>
        </row>
        <row r="38">
          <cell r="B38">
            <v>-0.5</v>
          </cell>
          <cell r="C38">
            <v>-0.5</v>
          </cell>
        </row>
        <row r="39">
          <cell r="B39">
            <v>-0.26214455196178954</v>
          </cell>
          <cell r="C39">
            <v>-0.3</v>
          </cell>
        </row>
        <row r="40">
          <cell r="B40">
            <v>-0.40874727541225486</v>
          </cell>
          <cell r="C40">
            <v>-9.9999999999999978E-2</v>
          </cell>
        </row>
        <row r="41">
          <cell r="B41">
            <v>-4.3796732408320382E-2</v>
          </cell>
          <cell r="C41">
            <v>0.10000000000000003</v>
          </cell>
        </row>
        <row r="42">
          <cell r="B42">
            <v>-0.95745368249229645</v>
          </cell>
          <cell r="C42">
            <v>0.30000000000000004</v>
          </cell>
        </row>
        <row r="43">
          <cell r="B43">
            <v>-0.5</v>
          </cell>
          <cell r="C43">
            <v>0.5</v>
          </cell>
        </row>
        <row r="44">
          <cell r="B44">
            <v>-0.3</v>
          </cell>
          <cell r="C44">
            <v>0.52827359510722993</v>
          </cell>
        </row>
        <row r="45">
          <cell r="B45">
            <v>-9.9999999999999978E-2</v>
          </cell>
          <cell r="C45">
            <v>0.94101147938965135</v>
          </cell>
        </row>
        <row r="46">
          <cell r="B46">
            <v>0.10000000000000003</v>
          </cell>
          <cell r="C46">
            <v>0.3914573420700963</v>
          </cell>
        </row>
        <row r="47">
          <cell r="B47">
            <v>0.30000000000000004</v>
          </cell>
          <cell r="C47">
            <v>0.23387961660898859</v>
          </cell>
        </row>
        <row r="48">
          <cell r="B48">
            <v>0.5</v>
          </cell>
          <cell r="C48">
            <v>0.5</v>
          </cell>
        </row>
        <row r="49">
          <cell r="B49">
            <v>0.47172640489277007</v>
          </cell>
          <cell r="C49">
            <v>0.3</v>
          </cell>
        </row>
        <row r="50">
          <cell r="B50">
            <v>5.8988520610348649E-2</v>
          </cell>
          <cell r="C50">
            <v>9.9999999999999978E-2</v>
          </cell>
        </row>
        <row r="51">
          <cell r="B51">
            <v>0.6085426579299037</v>
          </cell>
          <cell r="C51">
            <v>-0.10000000000000003</v>
          </cell>
        </row>
        <row r="52">
          <cell r="B52">
            <v>0.76612038339101141</v>
          </cell>
          <cell r="C52">
            <v>-0.30000000000000004</v>
          </cell>
        </row>
        <row r="53">
          <cell r="B53">
            <v>0.5</v>
          </cell>
          <cell r="C53">
            <v>-0.5</v>
          </cell>
        </row>
        <row r="54">
          <cell r="B54">
            <v>2</v>
          </cell>
          <cell r="C54">
            <v>-2</v>
          </cell>
        </row>
        <row r="55">
          <cell r="B55">
            <v>-2</v>
          </cell>
          <cell r="C55">
            <v>-2</v>
          </cell>
        </row>
        <row r="56">
          <cell r="B56">
            <v>-2</v>
          </cell>
          <cell r="C56">
            <v>2</v>
          </cell>
        </row>
        <row r="57">
          <cell r="B57">
            <v>2</v>
          </cell>
          <cell r="C57">
            <v>2</v>
          </cell>
        </row>
      </sheetData>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3ED10-0468-4EEC-80BE-1AD44D9A5341}">
  <dimension ref="C8:M57"/>
  <sheetViews>
    <sheetView tabSelected="1" workbookViewId="0">
      <selection activeCell="C9" sqref="C9"/>
    </sheetView>
  </sheetViews>
  <sheetFormatPr defaultRowHeight="18" x14ac:dyDescent="0.45"/>
  <sheetData>
    <row r="8" spans="3:4" ht="18.600000000000001" thickBot="1" x14ac:dyDescent="0.5"/>
    <row r="9" spans="3:4" ht="18.600000000000001" thickBot="1" x14ac:dyDescent="0.5">
      <c r="C9" s="7" t="s">
        <v>0</v>
      </c>
      <c r="D9" s="8" t="s">
        <v>1</v>
      </c>
    </row>
    <row r="10" spans="3:4" x14ac:dyDescent="0.45">
      <c r="C10" s="1">
        <v>1</v>
      </c>
      <c r="D10" s="5">
        <v>-1</v>
      </c>
    </row>
    <row r="11" spans="3:4" x14ac:dyDescent="0.45">
      <c r="C11" s="1">
        <v>1</v>
      </c>
      <c r="D11" s="5">
        <v>-0.5</v>
      </c>
    </row>
    <row r="12" spans="3:4" x14ac:dyDescent="0.45">
      <c r="C12" s="1">
        <v>1</v>
      </c>
      <c r="D12" s="5">
        <v>0</v>
      </c>
    </row>
    <row r="13" spans="3:4" x14ac:dyDescent="0.45">
      <c r="C13" s="1">
        <v>1</v>
      </c>
      <c r="D13" s="5">
        <v>0.5</v>
      </c>
    </row>
    <row r="14" spans="3:4" x14ac:dyDescent="0.45">
      <c r="C14" s="1">
        <v>1</v>
      </c>
      <c r="D14" s="5">
        <v>1</v>
      </c>
    </row>
    <row r="15" spans="3:4" x14ac:dyDescent="0.45">
      <c r="C15" s="1">
        <v>0.5</v>
      </c>
      <c r="D15" s="5">
        <v>1</v>
      </c>
    </row>
    <row r="16" spans="3:4" x14ac:dyDescent="0.45">
      <c r="C16" s="1">
        <v>0</v>
      </c>
      <c r="D16" s="5">
        <v>1</v>
      </c>
    </row>
    <row r="17" spans="3:4" x14ac:dyDescent="0.45">
      <c r="C17" s="1">
        <v>-0.5</v>
      </c>
      <c r="D17" s="5">
        <v>1</v>
      </c>
    </row>
    <row r="18" spans="3:4" x14ac:dyDescent="0.45">
      <c r="C18" s="1">
        <v>-1</v>
      </c>
      <c r="D18" s="5">
        <v>1</v>
      </c>
    </row>
    <row r="19" spans="3:4" x14ac:dyDescent="0.45">
      <c r="C19" s="1">
        <v>-1</v>
      </c>
      <c r="D19" s="5">
        <v>0.5</v>
      </c>
    </row>
    <row r="20" spans="3:4" x14ac:dyDescent="0.45">
      <c r="C20" s="1">
        <v>-1</v>
      </c>
      <c r="D20" s="5">
        <v>0</v>
      </c>
    </row>
    <row r="21" spans="3:4" x14ac:dyDescent="0.45">
      <c r="C21" s="1">
        <v>-1</v>
      </c>
      <c r="D21" s="5">
        <v>-0.5</v>
      </c>
    </row>
    <row r="22" spans="3:4" x14ac:dyDescent="0.45">
      <c r="C22" s="1">
        <v>-1</v>
      </c>
      <c r="D22" s="5">
        <v>-1</v>
      </c>
    </row>
    <row r="23" spans="3:4" x14ac:dyDescent="0.45">
      <c r="C23" s="1">
        <v>-0.5</v>
      </c>
      <c r="D23" s="5">
        <v>-1</v>
      </c>
    </row>
    <row r="24" spans="3:4" x14ac:dyDescent="0.45">
      <c r="C24" s="1">
        <v>0</v>
      </c>
      <c r="D24" s="5">
        <v>-1</v>
      </c>
    </row>
    <row r="25" spans="3:4" x14ac:dyDescent="0.45">
      <c r="C25" s="1">
        <v>0.5</v>
      </c>
      <c r="D25" s="5">
        <v>-1</v>
      </c>
    </row>
    <row r="26" spans="3:4" ht="18.600000000000001" thickBot="1" x14ac:dyDescent="0.5">
      <c r="C26" s="2">
        <v>1</v>
      </c>
      <c r="D26" s="6">
        <v>-1</v>
      </c>
    </row>
    <row r="27" spans="3:4" x14ac:dyDescent="0.45">
      <c r="C27" s="9"/>
      <c r="D27" s="9"/>
    </row>
    <row r="28" spans="3:4" x14ac:dyDescent="0.45">
      <c r="C28" s="9"/>
      <c r="D28" s="9"/>
    </row>
    <row r="29" spans="3:4" x14ac:dyDescent="0.45">
      <c r="C29" s="9"/>
      <c r="D29" s="9"/>
    </row>
    <row r="30" spans="3:4" x14ac:dyDescent="0.45">
      <c r="C30" s="9"/>
      <c r="D30" s="9"/>
    </row>
    <row r="34" spans="3:13" ht="18.600000000000001" thickBot="1" x14ac:dyDescent="0.5"/>
    <row r="35" spans="3:13" ht="18.600000000000001" thickBot="1" x14ac:dyDescent="0.5">
      <c r="C35" s="7" t="s">
        <v>0</v>
      </c>
      <c r="D35" s="8" t="s">
        <v>1</v>
      </c>
      <c r="G35" s="8" t="s">
        <v>3</v>
      </c>
      <c r="H35" s="3"/>
      <c r="I35" s="13"/>
      <c r="J35" s="4"/>
    </row>
    <row r="36" spans="3:13" x14ac:dyDescent="0.45">
      <c r="C36" s="1">
        <v>1</v>
      </c>
      <c r="D36" s="5">
        <v>-1</v>
      </c>
    </row>
    <row r="37" spans="3:13" x14ac:dyDescent="0.45">
      <c r="C37" s="1">
        <f>1+M45/10</f>
        <v>1</v>
      </c>
      <c r="D37" s="5">
        <v>-0.5</v>
      </c>
    </row>
    <row r="38" spans="3:13" x14ac:dyDescent="0.45">
      <c r="C38" s="1">
        <f>1+M44/10</f>
        <v>1</v>
      </c>
      <c r="D38" s="5">
        <v>0</v>
      </c>
    </row>
    <row r="39" spans="3:13" x14ac:dyDescent="0.45">
      <c r="C39" s="1">
        <f>1+M43/10</f>
        <v>1</v>
      </c>
      <c r="D39" s="5">
        <v>0.5</v>
      </c>
    </row>
    <row r="40" spans="3:13" x14ac:dyDescent="0.45">
      <c r="C40" s="1">
        <v>1</v>
      </c>
      <c r="D40" s="5">
        <v>1</v>
      </c>
    </row>
    <row r="41" spans="3:13" ht="18.600000000000001" thickBot="1" x14ac:dyDescent="0.5">
      <c r="C41" s="1">
        <v>0.5</v>
      </c>
      <c r="D41" s="5">
        <f>1+J35/10</f>
        <v>1</v>
      </c>
      <c r="M41" s="11"/>
    </row>
    <row r="42" spans="3:13" ht="18.600000000000001" thickBot="1" x14ac:dyDescent="0.5">
      <c r="C42" s="1">
        <v>0</v>
      </c>
      <c r="D42" s="5">
        <f>1+I35/10</f>
        <v>1</v>
      </c>
      <c r="M42" s="12" t="s">
        <v>2</v>
      </c>
    </row>
    <row r="43" spans="3:13" ht="18.600000000000001" thickBot="1" x14ac:dyDescent="0.5">
      <c r="C43" s="1">
        <v>-0.5</v>
      </c>
      <c r="D43" s="5">
        <f>1+H35/10</f>
        <v>1</v>
      </c>
      <c r="M43" s="4"/>
    </row>
    <row r="44" spans="3:13" ht="18.600000000000001" thickBot="1" x14ac:dyDescent="0.5">
      <c r="C44" s="1">
        <v>-1</v>
      </c>
      <c r="D44" s="5">
        <v>1</v>
      </c>
      <c r="M44" s="4"/>
    </row>
    <row r="45" spans="3:13" ht="18.600000000000001" thickBot="1" x14ac:dyDescent="0.5">
      <c r="C45" s="1">
        <f>-1+M43/10</f>
        <v>-1</v>
      </c>
      <c r="D45" s="5">
        <v>0.5</v>
      </c>
      <c r="M45" s="4"/>
    </row>
    <row r="46" spans="3:13" x14ac:dyDescent="0.45">
      <c r="C46" s="1">
        <f>-1+M44/10</f>
        <v>-1</v>
      </c>
      <c r="D46" s="5">
        <v>0</v>
      </c>
      <c r="M46" s="23"/>
    </row>
    <row r="47" spans="3:13" x14ac:dyDescent="0.45">
      <c r="C47" s="1">
        <f>-1+M45/10</f>
        <v>-1</v>
      </c>
      <c r="D47" s="5">
        <v>-0.5</v>
      </c>
    </row>
    <row r="48" spans="3:13" x14ac:dyDescent="0.45">
      <c r="C48" s="1">
        <v>-1</v>
      </c>
      <c r="D48" s="5">
        <v>-1</v>
      </c>
    </row>
    <row r="49" spans="3:4" x14ac:dyDescent="0.45">
      <c r="C49" s="1">
        <v>-0.5</v>
      </c>
      <c r="D49" s="5">
        <f>-1+H35/10</f>
        <v>-1</v>
      </c>
    </row>
    <row r="50" spans="3:4" x14ac:dyDescent="0.45">
      <c r="C50" s="1">
        <v>0</v>
      </c>
      <c r="D50" s="5">
        <f>-1+I35/10</f>
        <v>-1</v>
      </c>
    </row>
    <row r="51" spans="3:4" x14ac:dyDescent="0.45">
      <c r="C51" s="1">
        <v>0.5</v>
      </c>
      <c r="D51" s="5">
        <f>-1+J35/10</f>
        <v>-1</v>
      </c>
    </row>
    <row r="52" spans="3:4" ht="18.600000000000001" thickBot="1" x14ac:dyDescent="0.5">
      <c r="C52" s="2">
        <v>1</v>
      </c>
      <c r="D52" s="6">
        <v>-1</v>
      </c>
    </row>
    <row r="53" spans="3:4" x14ac:dyDescent="0.45">
      <c r="C53" s="14">
        <v>2</v>
      </c>
      <c r="D53" s="20">
        <v>-2</v>
      </c>
    </row>
    <row r="54" spans="3:4" x14ac:dyDescent="0.45">
      <c r="C54" s="16">
        <v>2</v>
      </c>
      <c r="D54" s="21">
        <v>2</v>
      </c>
    </row>
    <row r="55" spans="3:4" x14ac:dyDescent="0.45">
      <c r="C55" s="16">
        <v>-2</v>
      </c>
      <c r="D55" s="21">
        <v>2</v>
      </c>
    </row>
    <row r="56" spans="3:4" ht="18.600000000000001" thickBot="1" x14ac:dyDescent="0.5">
      <c r="C56" s="18">
        <v>-2</v>
      </c>
      <c r="D56" s="22">
        <v>-2</v>
      </c>
    </row>
    <row r="57" spans="3:4" x14ac:dyDescent="0.45">
      <c r="C57" s="10"/>
      <c r="D57" s="10"/>
    </row>
  </sheetData>
  <phoneticPr fontId="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D024A-7676-4011-8C70-11ABD82BF06F}">
  <sheetPr>
    <tabColor rgb="FFFF0000"/>
  </sheetPr>
  <dimension ref="C8:M57"/>
  <sheetViews>
    <sheetView workbookViewId="0">
      <selection activeCell="C9" sqref="C9"/>
    </sheetView>
  </sheetViews>
  <sheetFormatPr defaultRowHeight="18" x14ac:dyDescent="0.45"/>
  <sheetData>
    <row r="8" spans="3:4" ht="18.600000000000001" thickBot="1" x14ac:dyDescent="0.5"/>
    <row r="9" spans="3:4" ht="18.600000000000001" thickBot="1" x14ac:dyDescent="0.5">
      <c r="C9" s="7" t="s">
        <v>0</v>
      </c>
      <c r="D9" s="8" t="s">
        <v>1</v>
      </c>
    </row>
    <row r="10" spans="3:4" x14ac:dyDescent="0.45">
      <c r="C10" s="1">
        <v>1</v>
      </c>
      <c r="D10" s="5">
        <v>-1</v>
      </c>
    </row>
    <row r="11" spans="3:4" x14ac:dyDescent="0.45">
      <c r="C11" s="1">
        <v>1</v>
      </c>
      <c r="D11" s="5">
        <v>-0.5</v>
      </c>
    </row>
    <row r="12" spans="3:4" x14ac:dyDescent="0.45">
      <c r="C12" s="1">
        <v>1</v>
      </c>
      <c r="D12" s="5">
        <v>0</v>
      </c>
    </row>
    <row r="13" spans="3:4" x14ac:dyDescent="0.45">
      <c r="C13" s="1">
        <v>1</v>
      </c>
      <c r="D13" s="5">
        <v>0.5</v>
      </c>
    </row>
    <row r="14" spans="3:4" x14ac:dyDescent="0.45">
      <c r="C14" s="1">
        <v>1</v>
      </c>
      <c r="D14" s="5">
        <v>1</v>
      </c>
    </row>
    <row r="15" spans="3:4" x14ac:dyDescent="0.45">
      <c r="C15" s="1">
        <v>0.5</v>
      </c>
      <c r="D15" s="5">
        <v>1</v>
      </c>
    </row>
    <row r="16" spans="3:4" x14ac:dyDescent="0.45">
      <c r="C16" s="1">
        <v>0</v>
      </c>
      <c r="D16" s="5">
        <v>1</v>
      </c>
    </row>
    <row r="17" spans="3:4" x14ac:dyDescent="0.45">
      <c r="C17" s="1">
        <v>-0.5</v>
      </c>
      <c r="D17" s="5">
        <v>1</v>
      </c>
    </row>
    <row r="18" spans="3:4" x14ac:dyDescent="0.45">
      <c r="C18" s="1">
        <v>-1</v>
      </c>
      <c r="D18" s="5">
        <v>1</v>
      </c>
    </row>
    <row r="19" spans="3:4" x14ac:dyDescent="0.45">
      <c r="C19" s="1">
        <v>-1</v>
      </c>
      <c r="D19" s="5">
        <v>0.5</v>
      </c>
    </row>
    <row r="20" spans="3:4" x14ac:dyDescent="0.45">
      <c r="C20" s="1">
        <v>-1</v>
      </c>
      <c r="D20" s="5">
        <v>0</v>
      </c>
    </row>
    <row r="21" spans="3:4" x14ac:dyDescent="0.45">
      <c r="C21" s="1">
        <v>-1</v>
      </c>
      <c r="D21" s="5">
        <v>-0.5</v>
      </c>
    </row>
    <row r="22" spans="3:4" x14ac:dyDescent="0.45">
      <c r="C22" s="1">
        <v>-1</v>
      </c>
      <c r="D22" s="5">
        <v>-1</v>
      </c>
    </row>
    <row r="23" spans="3:4" x14ac:dyDescent="0.45">
      <c r="C23" s="1">
        <v>-0.5</v>
      </c>
      <c r="D23" s="5">
        <v>-1</v>
      </c>
    </row>
    <row r="24" spans="3:4" x14ac:dyDescent="0.45">
      <c r="C24" s="1">
        <v>0</v>
      </c>
      <c r="D24" s="5">
        <v>-1</v>
      </c>
    </row>
    <row r="25" spans="3:4" x14ac:dyDescent="0.45">
      <c r="C25" s="1">
        <v>0.5</v>
      </c>
      <c r="D25" s="5">
        <v>-1</v>
      </c>
    </row>
    <row r="26" spans="3:4" ht="18.600000000000001" thickBot="1" x14ac:dyDescent="0.5">
      <c r="C26" s="2">
        <v>1</v>
      </c>
      <c r="D26" s="6">
        <v>-1</v>
      </c>
    </row>
    <row r="27" spans="3:4" x14ac:dyDescent="0.45">
      <c r="C27" s="9"/>
      <c r="D27" s="9"/>
    </row>
    <row r="28" spans="3:4" x14ac:dyDescent="0.45">
      <c r="C28" s="9"/>
      <c r="D28" s="9"/>
    </row>
    <row r="29" spans="3:4" x14ac:dyDescent="0.45">
      <c r="C29" s="9"/>
      <c r="D29" s="9"/>
    </row>
    <row r="30" spans="3:4" x14ac:dyDescent="0.45">
      <c r="C30" s="9"/>
      <c r="D30" s="9"/>
    </row>
    <row r="34" spans="3:13" ht="18.600000000000001" thickBot="1" x14ac:dyDescent="0.5"/>
    <row r="35" spans="3:13" ht="18.600000000000001" thickBot="1" x14ac:dyDescent="0.5">
      <c r="C35" s="7" t="s">
        <v>0</v>
      </c>
      <c r="D35" s="8" t="s">
        <v>1</v>
      </c>
      <c r="G35" s="8" t="s">
        <v>3</v>
      </c>
      <c r="H35" s="3">
        <v>-3</v>
      </c>
      <c r="I35" s="13">
        <v>4</v>
      </c>
      <c r="J35" s="4">
        <v>7</v>
      </c>
    </row>
    <row r="36" spans="3:13" x14ac:dyDescent="0.45">
      <c r="C36" s="1">
        <v>1</v>
      </c>
      <c r="D36" s="5">
        <v>-1</v>
      </c>
    </row>
    <row r="37" spans="3:13" x14ac:dyDescent="0.45">
      <c r="C37" s="1">
        <f>1+M45/10</f>
        <v>1.4</v>
      </c>
      <c r="D37" s="5">
        <v>-0.5</v>
      </c>
    </row>
    <row r="38" spans="3:13" x14ac:dyDescent="0.45">
      <c r="C38" s="1">
        <f>1+M44/10</f>
        <v>1.2</v>
      </c>
      <c r="D38" s="5">
        <v>0</v>
      </c>
    </row>
    <row r="39" spans="3:13" x14ac:dyDescent="0.45">
      <c r="C39" s="1">
        <f>1+M43/10</f>
        <v>0.7</v>
      </c>
      <c r="D39" s="5">
        <v>0.5</v>
      </c>
    </row>
    <row r="40" spans="3:13" x14ac:dyDescent="0.45">
      <c r="C40" s="1">
        <v>1</v>
      </c>
      <c r="D40" s="5">
        <v>1</v>
      </c>
    </row>
    <row r="41" spans="3:13" ht="18.600000000000001" thickBot="1" x14ac:dyDescent="0.5">
      <c r="C41" s="1">
        <v>0.5</v>
      </c>
      <c r="D41" s="5">
        <f>1+J35/10</f>
        <v>1.7</v>
      </c>
      <c r="M41" s="11"/>
    </row>
    <row r="42" spans="3:13" ht="18.600000000000001" thickBot="1" x14ac:dyDescent="0.5">
      <c r="C42" s="1">
        <v>0</v>
      </c>
      <c r="D42" s="5">
        <f>1+I35/10</f>
        <v>1.4</v>
      </c>
      <c r="M42" s="12" t="s">
        <v>2</v>
      </c>
    </row>
    <row r="43" spans="3:13" ht="18.600000000000001" thickBot="1" x14ac:dyDescent="0.5">
      <c r="C43" s="1">
        <v>-0.5</v>
      </c>
      <c r="D43" s="5">
        <f>1+H35/10</f>
        <v>0.7</v>
      </c>
      <c r="M43" s="4">
        <v>-3</v>
      </c>
    </row>
    <row r="44" spans="3:13" ht="18.600000000000001" thickBot="1" x14ac:dyDescent="0.5">
      <c r="C44" s="1">
        <v>-1</v>
      </c>
      <c r="D44" s="5">
        <v>1</v>
      </c>
      <c r="M44" s="4">
        <v>2</v>
      </c>
    </row>
    <row r="45" spans="3:13" ht="18.600000000000001" thickBot="1" x14ac:dyDescent="0.5">
      <c r="C45" s="1">
        <f>-1+M43/10</f>
        <v>-1.3</v>
      </c>
      <c r="D45" s="5">
        <v>0.5</v>
      </c>
      <c r="M45" s="4">
        <v>4</v>
      </c>
    </row>
    <row r="46" spans="3:13" x14ac:dyDescent="0.45">
      <c r="C46" s="1">
        <f>-1+M44/10</f>
        <v>-0.8</v>
      </c>
      <c r="D46" s="5">
        <v>0</v>
      </c>
      <c r="M46" s="23"/>
    </row>
    <row r="47" spans="3:13" x14ac:dyDescent="0.45">
      <c r="C47" s="1">
        <f>-1+M45/10</f>
        <v>-0.6</v>
      </c>
      <c r="D47" s="5">
        <v>-0.5</v>
      </c>
    </row>
    <row r="48" spans="3:13" x14ac:dyDescent="0.45">
      <c r="C48" s="1">
        <v>-1</v>
      </c>
      <c r="D48" s="5">
        <v>-1</v>
      </c>
    </row>
    <row r="49" spans="3:4" x14ac:dyDescent="0.45">
      <c r="C49" s="1">
        <v>-0.5</v>
      </c>
      <c r="D49" s="5">
        <f>-1+H35/10</f>
        <v>-1.3</v>
      </c>
    </row>
    <row r="50" spans="3:4" x14ac:dyDescent="0.45">
      <c r="C50" s="1">
        <v>0</v>
      </c>
      <c r="D50" s="5">
        <f>-1+I35/10</f>
        <v>-0.6</v>
      </c>
    </row>
    <row r="51" spans="3:4" x14ac:dyDescent="0.45">
      <c r="C51" s="1">
        <v>0.5</v>
      </c>
      <c r="D51" s="5">
        <f>-1+J35/10</f>
        <v>-0.30000000000000004</v>
      </c>
    </row>
    <row r="52" spans="3:4" ht="18.600000000000001" thickBot="1" x14ac:dyDescent="0.5">
      <c r="C52" s="2">
        <v>1</v>
      </c>
      <c r="D52" s="6">
        <v>-1</v>
      </c>
    </row>
    <row r="53" spans="3:4" x14ac:dyDescent="0.45">
      <c r="C53" s="14">
        <v>2</v>
      </c>
      <c r="D53" s="20">
        <v>-2</v>
      </c>
    </row>
    <row r="54" spans="3:4" x14ac:dyDescent="0.45">
      <c r="C54" s="16">
        <v>2</v>
      </c>
      <c r="D54" s="21">
        <v>2</v>
      </c>
    </row>
    <row r="55" spans="3:4" x14ac:dyDescent="0.45">
      <c r="C55" s="16">
        <v>-2</v>
      </c>
      <c r="D55" s="21">
        <v>2</v>
      </c>
    </row>
    <row r="56" spans="3:4" ht="18.600000000000001" thickBot="1" x14ac:dyDescent="0.5">
      <c r="C56" s="18">
        <v>-2</v>
      </c>
      <c r="D56" s="22">
        <v>-2</v>
      </c>
    </row>
    <row r="57" spans="3:4" x14ac:dyDescent="0.45">
      <c r="C57" s="10"/>
      <c r="D57" s="10"/>
    </row>
  </sheetData>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8CCFE-E73D-46A4-931B-97588F61A6D8}">
  <dimension ref="B7:L29"/>
  <sheetViews>
    <sheetView zoomScaleNormal="100" workbookViewId="0">
      <selection activeCell="B8" sqref="B8"/>
    </sheetView>
  </sheetViews>
  <sheetFormatPr defaultRowHeight="18" x14ac:dyDescent="0.45"/>
  <sheetData>
    <row r="7" spans="2:12" ht="18.600000000000001" thickBot="1" x14ac:dyDescent="0.5"/>
    <row r="8" spans="2:12" ht="18.600000000000001" thickBot="1" x14ac:dyDescent="0.5">
      <c r="B8" s="7" t="s">
        <v>0</v>
      </c>
      <c r="C8" s="8" t="s">
        <v>1</v>
      </c>
      <c r="F8" s="8" t="s">
        <v>3</v>
      </c>
      <c r="G8" s="3"/>
      <c r="H8" s="3"/>
      <c r="I8" s="3"/>
    </row>
    <row r="9" spans="2:12" ht="18.600000000000001" thickBot="1" x14ac:dyDescent="0.5">
      <c r="B9" s="1">
        <v>1</v>
      </c>
      <c r="C9" s="5">
        <v>-1</v>
      </c>
      <c r="F9" s="12" t="s">
        <v>2</v>
      </c>
      <c r="G9" s="3"/>
      <c r="H9" s="3"/>
      <c r="I9" s="3"/>
    </row>
    <row r="10" spans="2:12" x14ac:dyDescent="0.45">
      <c r="B10" s="1">
        <f>1+I9/10</f>
        <v>1</v>
      </c>
      <c r="C10" s="5">
        <v>-0.5</v>
      </c>
    </row>
    <row r="11" spans="2:12" x14ac:dyDescent="0.45">
      <c r="B11" s="1">
        <f>1+H9/10</f>
        <v>1</v>
      </c>
      <c r="C11" s="5">
        <v>0</v>
      </c>
    </row>
    <row r="12" spans="2:12" x14ac:dyDescent="0.45">
      <c r="B12" s="1">
        <f>1+G9/10</f>
        <v>1</v>
      </c>
      <c r="C12" s="5">
        <v>0.5</v>
      </c>
    </row>
    <row r="13" spans="2:12" x14ac:dyDescent="0.45">
      <c r="B13" s="1">
        <v>1</v>
      </c>
      <c r="C13" s="5">
        <v>1</v>
      </c>
    </row>
    <row r="14" spans="2:12" x14ac:dyDescent="0.45">
      <c r="B14" s="1">
        <v>0.5</v>
      </c>
      <c r="C14" s="5">
        <f>1+I8/10</f>
        <v>1</v>
      </c>
      <c r="L14" s="10"/>
    </row>
    <row r="15" spans="2:12" x14ac:dyDescent="0.45">
      <c r="B15" s="1">
        <v>0</v>
      </c>
      <c r="C15" s="5">
        <f>1+H8/10</f>
        <v>1</v>
      </c>
    </row>
    <row r="16" spans="2:12" x14ac:dyDescent="0.45">
      <c r="B16" s="1">
        <v>-0.5</v>
      </c>
      <c r="C16" s="5">
        <f>1+G8/10</f>
        <v>1</v>
      </c>
    </row>
    <row r="17" spans="2:12" x14ac:dyDescent="0.45">
      <c r="B17" s="1">
        <v>-1</v>
      </c>
      <c r="C17" s="5">
        <v>1</v>
      </c>
    </row>
    <row r="18" spans="2:12" x14ac:dyDescent="0.45">
      <c r="B18" s="1">
        <f>-1+G9/10</f>
        <v>-1</v>
      </c>
      <c r="C18" s="5">
        <v>0.5</v>
      </c>
    </row>
    <row r="19" spans="2:12" x14ac:dyDescent="0.45">
      <c r="B19" s="1">
        <f>-1+H9/10</f>
        <v>-1</v>
      </c>
      <c r="C19" s="5">
        <v>0</v>
      </c>
      <c r="L19" s="23"/>
    </row>
    <row r="20" spans="2:12" x14ac:dyDescent="0.45">
      <c r="B20" s="1">
        <f>-1+I9/10</f>
        <v>-1</v>
      </c>
      <c r="C20" s="5">
        <v>-0.5</v>
      </c>
    </row>
    <row r="21" spans="2:12" x14ac:dyDescent="0.45">
      <c r="B21" s="1">
        <v>-1</v>
      </c>
      <c r="C21" s="5">
        <v>-1</v>
      </c>
    </row>
    <row r="22" spans="2:12" x14ac:dyDescent="0.45">
      <c r="B22" s="1">
        <v>-0.5</v>
      </c>
      <c r="C22" s="5">
        <f>-1+G8/10</f>
        <v>-1</v>
      </c>
    </row>
    <row r="23" spans="2:12" x14ac:dyDescent="0.45">
      <c r="B23" s="1">
        <v>0</v>
      </c>
      <c r="C23" s="5">
        <f>-1+H8/10</f>
        <v>-1</v>
      </c>
    </row>
    <row r="24" spans="2:12" x14ac:dyDescent="0.45">
      <c r="B24" s="1">
        <v>0.5</v>
      </c>
      <c r="C24" s="5">
        <f>-1+I8/10</f>
        <v>-1</v>
      </c>
    </row>
    <row r="25" spans="2:12" ht="18.600000000000001" thickBot="1" x14ac:dyDescent="0.5">
      <c r="B25" s="2">
        <v>1</v>
      </c>
      <c r="C25" s="6">
        <v>-1</v>
      </c>
    </row>
    <row r="26" spans="2:12" x14ac:dyDescent="0.45">
      <c r="B26" s="20">
        <v>2</v>
      </c>
      <c r="C26" s="15">
        <v>2</v>
      </c>
    </row>
    <row r="27" spans="2:12" x14ac:dyDescent="0.45">
      <c r="B27" s="21">
        <v>-2</v>
      </c>
      <c r="C27" s="17">
        <v>2</v>
      </c>
    </row>
    <row r="28" spans="2:12" x14ac:dyDescent="0.45">
      <c r="B28" s="21">
        <v>-2</v>
      </c>
      <c r="C28" s="17">
        <v>-2</v>
      </c>
    </row>
    <row r="29" spans="2:12" ht="18.600000000000001" thickBot="1" x14ac:dyDescent="0.5">
      <c r="B29" s="22">
        <v>2</v>
      </c>
      <c r="C29" s="19">
        <v>-2</v>
      </c>
    </row>
  </sheetData>
  <phoneticPr fontId="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5A9D4-7EB6-49CB-980F-C7151439D5CD}">
  <sheetPr>
    <tabColor rgb="FFFF0000"/>
  </sheetPr>
  <dimension ref="B7:L29"/>
  <sheetViews>
    <sheetView zoomScaleNormal="100" workbookViewId="0">
      <selection activeCell="B8" sqref="B8"/>
    </sheetView>
  </sheetViews>
  <sheetFormatPr defaultRowHeight="18" x14ac:dyDescent="0.45"/>
  <sheetData>
    <row r="7" spans="2:12" ht="18.600000000000001" thickBot="1" x14ac:dyDescent="0.5"/>
    <row r="8" spans="2:12" ht="18.600000000000001" thickBot="1" x14ac:dyDescent="0.5">
      <c r="B8" s="7" t="s">
        <v>0</v>
      </c>
      <c r="C8" s="8" t="s">
        <v>1</v>
      </c>
      <c r="F8" s="8" t="s">
        <v>3</v>
      </c>
      <c r="G8" s="3">
        <v>1</v>
      </c>
      <c r="H8" s="3">
        <v>2</v>
      </c>
      <c r="I8" s="3">
        <v>3</v>
      </c>
    </row>
    <row r="9" spans="2:12" ht="18.600000000000001" thickBot="1" x14ac:dyDescent="0.5">
      <c r="B9" s="1">
        <v>1</v>
      </c>
      <c r="C9" s="5">
        <v>-1</v>
      </c>
      <c r="F9" s="12" t="s">
        <v>2</v>
      </c>
      <c r="G9" s="3">
        <v>4</v>
      </c>
      <c r="H9" s="3">
        <v>5</v>
      </c>
      <c r="I9" s="3">
        <v>6</v>
      </c>
    </row>
    <row r="10" spans="2:12" x14ac:dyDescent="0.45">
      <c r="B10" s="1">
        <f>1+I9/10</f>
        <v>1.6</v>
      </c>
      <c r="C10" s="5">
        <v>-0.5</v>
      </c>
    </row>
    <row r="11" spans="2:12" x14ac:dyDescent="0.45">
      <c r="B11" s="1">
        <f>1+H9/10</f>
        <v>1.5</v>
      </c>
      <c r="C11" s="5">
        <v>0</v>
      </c>
    </row>
    <row r="12" spans="2:12" x14ac:dyDescent="0.45">
      <c r="B12" s="1">
        <f>1+G9/10</f>
        <v>1.4</v>
      </c>
      <c r="C12" s="5">
        <v>0.5</v>
      </c>
    </row>
    <row r="13" spans="2:12" x14ac:dyDescent="0.45">
      <c r="B13" s="1">
        <v>1</v>
      </c>
      <c r="C13" s="5">
        <v>1</v>
      </c>
    </row>
    <row r="14" spans="2:12" x14ac:dyDescent="0.45">
      <c r="B14" s="1">
        <v>0.5</v>
      </c>
      <c r="C14" s="5">
        <f>1+I8/10</f>
        <v>1.3</v>
      </c>
      <c r="L14" s="10"/>
    </row>
    <row r="15" spans="2:12" x14ac:dyDescent="0.45">
      <c r="B15" s="1">
        <v>0</v>
      </c>
      <c r="C15" s="5">
        <f>1+H8/10</f>
        <v>1.2</v>
      </c>
    </row>
    <row r="16" spans="2:12" x14ac:dyDescent="0.45">
      <c r="B16" s="1">
        <v>-0.5</v>
      </c>
      <c r="C16" s="5">
        <f>1+G8/10</f>
        <v>1.1000000000000001</v>
      </c>
    </row>
    <row r="17" spans="2:12" x14ac:dyDescent="0.45">
      <c r="B17" s="1">
        <v>-1</v>
      </c>
      <c r="C17" s="5">
        <v>1</v>
      </c>
    </row>
    <row r="18" spans="2:12" x14ac:dyDescent="0.45">
      <c r="B18" s="1">
        <f>-1+G9/10</f>
        <v>-0.6</v>
      </c>
      <c r="C18" s="5">
        <v>0.5</v>
      </c>
    </row>
    <row r="19" spans="2:12" x14ac:dyDescent="0.45">
      <c r="B19" s="1">
        <f>-1+H9/10</f>
        <v>-0.5</v>
      </c>
      <c r="C19" s="5">
        <v>0</v>
      </c>
      <c r="L19" s="23"/>
    </row>
    <row r="20" spans="2:12" x14ac:dyDescent="0.45">
      <c r="B20" s="1">
        <f>-1+I9/10</f>
        <v>-0.4</v>
      </c>
      <c r="C20" s="5">
        <v>-0.5</v>
      </c>
    </row>
    <row r="21" spans="2:12" x14ac:dyDescent="0.45">
      <c r="B21" s="1">
        <v>-1</v>
      </c>
      <c r="C21" s="5">
        <v>-1</v>
      </c>
    </row>
    <row r="22" spans="2:12" x14ac:dyDescent="0.45">
      <c r="B22" s="1">
        <v>-0.5</v>
      </c>
      <c r="C22" s="5">
        <f>-1+G8/10</f>
        <v>-0.9</v>
      </c>
    </row>
    <row r="23" spans="2:12" x14ac:dyDescent="0.45">
      <c r="B23" s="1">
        <v>0</v>
      </c>
      <c r="C23" s="5">
        <f>-1+H8/10</f>
        <v>-0.8</v>
      </c>
    </row>
    <row r="24" spans="2:12" x14ac:dyDescent="0.45">
      <c r="B24" s="1">
        <v>0.5</v>
      </c>
      <c r="C24" s="5">
        <f>-1+I8/10</f>
        <v>-0.7</v>
      </c>
    </row>
    <row r="25" spans="2:12" ht="18.600000000000001" thickBot="1" x14ac:dyDescent="0.5">
      <c r="B25" s="2">
        <v>1</v>
      </c>
      <c r="C25" s="6">
        <v>-1</v>
      </c>
    </row>
    <row r="26" spans="2:12" x14ac:dyDescent="0.45">
      <c r="B26" s="20">
        <v>2</v>
      </c>
      <c r="C26" s="15">
        <v>2</v>
      </c>
    </row>
    <row r="27" spans="2:12" x14ac:dyDescent="0.45">
      <c r="B27" s="21">
        <v>-2</v>
      </c>
      <c r="C27" s="17">
        <v>2</v>
      </c>
    </row>
    <row r="28" spans="2:12" x14ac:dyDescent="0.45">
      <c r="B28" s="21">
        <v>-2</v>
      </c>
      <c r="C28" s="17">
        <v>-2</v>
      </c>
    </row>
    <row r="29" spans="2:12" ht="18.600000000000001" thickBot="1" x14ac:dyDescent="0.5">
      <c r="B29" s="22">
        <v>2</v>
      </c>
      <c r="C29" s="19">
        <v>-2</v>
      </c>
    </row>
  </sheetData>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2EF08-6053-431F-BC7F-48D85E5A7580}">
  <dimension ref="B9:I81"/>
  <sheetViews>
    <sheetView workbookViewId="0">
      <selection activeCell="B10" sqref="B10"/>
    </sheetView>
  </sheetViews>
  <sheetFormatPr defaultRowHeight="18" x14ac:dyDescent="0.45"/>
  <cols>
    <col min="3" max="4" width="11.8984375" customWidth="1"/>
  </cols>
  <sheetData>
    <row r="9" spans="2:9" ht="18.600000000000001" thickBot="1" x14ac:dyDescent="0.5"/>
    <row r="10" spans="2:9" ht="18.600000000000001" thickBot="1" x14ac:dyDescent="0.5">
      <c r="B10" s="31" t="s">
        <v>4</v>
      </c>
      <c r="C10" s="32" t="s">
        <v>8</v>
      </c>
      <c r="D10" s="31" t="s">
        <v>9</v>
      </c>
      <c r="E10" s="31" t="s">
        <v>0</v>
      </c>
      <c r="F10" s="34" t="s">
        <v>1</v>
      </c>
      <c r="H10" s="26">
        <f>COS(2*PI()/6)</f>
        <v>0.50000000000000011</v>
      </c>
      <c r="I10" s="27">
        <f>-SIN(2*PI()/6)</f>
        <v>-0.8660254037844386</v>
      </c>
    </row>
    <row r="11" spans="2:9" ht="18.600000000000001" thickBot="1" x14ac:dyDescent="0.5">
      <c r="B11" s="5">
        <v>0</v>
      </c>
      <c r="C11" s="9">
        <f ca="1">RAND()</f>
        <v>0.48733154189681593</v>
      </c>
      <c r="D11" s="5">
        <f ca="1">RAND()</f>
        <v>0.46058465504771839</v>
      </c>
      <c r="E11" s="40">
        <f ca="1">C11*COS(2*PI()*D11/6)</f>
        <v>0.43173664286353469</v>
      </c>
      <c r="F11" s="27">
        <f ca="1">C11*SIN(2*PI()*D11/6)</f>
        <v>0.22604314397135064</v>
      </c>
      <c r="H11" s="2">
        <f>SIN(2*PI()/6)</f>
        <v>0.8660254037844386</v>
      </c>
      <c r="I11" s="30">
        <f>COS(2*PI()/6)</f>
        <v>0.50000000000000011</v>
      </c>
    </row>
    <row r="12" spans="2:9" x14ac:dyDescent="0.45">
      <c r="B12" s="5">
        <v>1</v>
      </c>
      <c r="C12" s="9">
        <f t="shared" ref="C12:D21" ca="1" si="0">RAND()</f>
        <v>0.29404946769498752</v>
      </c>
      <c r="D12" s="5">
        <f t="shared" ca="1" si="0"/>
        <v>0.56374644814200026</v>
      </c>
      <c r="E12" s="5">
        <f t="shared" ref="E12:E21" ca="1" si="1">C12*COS(2*PI()*D12/6)</f>
        <v>0.24427975186447945</v>
      </c>
      <c r="F12" s="28">
        <f t="shared" ref="F12:F21" ca="1" si="2">C12*SIN(2*PI()*D12/6)</f>
        <v>0.16368412348402597</v>
      </c>
    </row>
    <row r="13" spans="2:9" x14ac:dyDescent="0.45">
      <c r="B13" s="5">
        <v>2</v>
      </c>
      <c r="C13" s="9">
        <f t="shared" ca="1" si="0"/>
        <v>0.13890946160390572</v>
      </c>
      <c r="D13" s="5">
        <f t="shared" ca="1" si="0"/>
        <v>0.89088512739088688</v>
      </c>
      <c r="E13" s="5">
        <f t="shared" ca="1" si="1"/>
        <v>8.271787354380479E-2</v>
      </c>
      <c r="F13" s="28">
        <f t="shared" ca="1" si="2"/>
        <v>0.11159566263738961</v>
      </c>
    </row>
    <row r="14" spans="2:9" x14ac:dyDescent="0.45">
      <c r="B14" s="5">
        <v>3</v>
      </c>
      <c r="C14" s="9">
        <f t="shared" ca="1" si="0"/>
        <v>0.57506705625811549</v>
      </c>
      <c r="D14" s="5">
        <f t="shared" ca="1" si="0"/>
        <v>0.36869221905035399</v>
      </c>
      <c r="E14" s="5">
        <f t="shared" ca="1" si="1"/>
        <v>0.53273474352179218</v>
      </c>
      <c r="F14" s="28">
        <f t="shared" ca="1" si="2"/>
        <v>0.21655440941745996</v>
      </c>
    </row>
    <row r="15" spans="2:9" x14ac:dyDescent="0.45">
      <c r="B15" s="5">
        <v>4</v>
      </c>
      <c r="C15" s="9">
        <f t="shared" ca="1" si="0"/>
        <v>0.65747753715775337</v>
      </c>
      <c r="D15" s="5">
        <f t="shared" ca="1" si="0"/>
        <v>0.7890620117781596</v>
      </c>
      <c r="E15" s="5">
        <f t="shared" ca="1" si="1"/>
        <v>0.44550591196275041</v>
      </c>
      <c r="F15" s="28">
        <f t="shared" ca="1" si="2"/>
        <v>0.48352993110381803</v>
      </c>
    </row>
    <row r="16" spans="2:9" x14ac:dyDescent="0.45">
      <c r="B16" s="5">
        <v>5</v>
      </c>
      <c r="C16" s="9">
        <f t="shared" ca="1" si="0"/>
        <v>0.2512763566630043</v>
      </c>
      <c r="D16" s="5">
        <f t="shared" ca="1" si="0"/>
        <v>0.57274350907597227</v>
      </c>
      <c r="E16" s="5">
        <f t="shared" ca="1" si="1"/>
        <v>0.20741915925759488</v>
      </c>
      <c r="F16" s="28">
        <f t="shared" ca="1" si="2"/>
        <v>0.14183476227887803</v>
      </c>
    </row>
    <row r="17" spans="2:6" x14ac:dyDescent="0.45">
      <c r="B17" s="5">
        <v>6</v>
      </c>
      <c r="C17" s="9">
        <f t="shared" ca="1" si="0"/>
        <v>0.3282224622907447</v>
      </c>
      <c r="D17" s="5">
        <f t="shared" ca="1" si="0"/>
        <v>7.7066481878707238E-2</v>
      </c>
      <c r="E17" s="5">
        <f t="shared" ca="1" si="1"/>
        <v>0.32715416807528291</v>
      </c>
      <c r="F17" s="28">
        <f t="shared" ca="1" si="2"/>
        <v>2.6460065441507523E-2</v>
      </c>
    </row>
    <row r="18" spans="2:6" x14ac:dyDescent="0.45">
      <c r="B18" s="5">
        <v>7</v>
      </c>
      <c r="C18" s="9">
        <f t="shared" ca="1" si="0"/>
        <v>0.88880666750587334</v>
      </c>
      <c r="D18" s="5">
        <f t="shared" ca="1" si="0"/>
        <v>0.95237553842128253</v>
      </c>
      <c r="E18" s="5">
        <f t="shared" ca="1" si="1"/>
        <v>0.48222296970129519</v>
      </c>
      <c r="F18" s="28">
        <f t="shared" ca="1" si="2"/>
        <v>0.74661790743013912</v>
      </c>
    </row>
    <row r="19" spans="2:6" x14ac:dyDescent="0.45">
      <c r="B19" s="5">
        <v>8</v>
      </c>
      <c r="C19" s="9">
        <f t="shared" ca="1" si="0"/>
        <v>0.46497155007645041</v>
      </c>
      <c r="D19" s="5">
        <f t="shared" ca="1" si="0"/>
        <v>0.46936958815093066</v>
      </c>
      <c r="E19" s="5">
        <f t="shared" ca="1" si="1"/>
        <v>0.40992599626323128</v>
      </c>
      <c r="F19" s="28">
        <f t="shared" ca="1" si="2"/>
        <v>0.21945209037075561</v>
      </c>
    </row>
    <row r="20" spans="2:6" x14ac:dyDescent="0.45">
      <c r="B20" s="5">
        <v>9</v>
      </c>
      <c r="C20" s="9">
        <f t="shared" ca="1" si="0"/>
        <v>0.74563156424351873</v>
      </c>
      <c r="D20" s="5">
        <f t="shared" ca="1" si="0"/>
        <v>0.30065015435763653</v>
      </c>
      <c r="E20" s="5">
        <f t="shared" ca="1" si="1"/>
        <v>0.70898071930378737</v>
      </c>
      <c r="F20" s="28">
        <f t="shared" ca="1" si="2"/>
        <v>0.23089558084060621</v>
      </c>
    </row>
    <row r="21" spans="2:6" ht="18.600000000000001" thickBot="1" x14ac:dyDescent="0.5">
      <c r="B21" s="5">
        <v>10</v>
      </c>
      <c r="C21" s="29">
        <f t="shared" ca="1" si="0"/>
        <v>6.3366941738744464E-2</v>
      </c>
      <c r="D21" s="6">
        <f t="shared" ca="1" si="0"/>
        <v>0.66988241854984809</v>
      </c>
      <c r="E21" s="6">
        <f t="shared" ca="1" si="1"/>
        <v>4.8404454221729197E-2</v>
      </c>
      <c r="F21" s="30">
        <f t="shared" ca="1" si="2"/>
        <v>4.0894719913675381E-2</v>
      </c>
    </row>
    <row r="22" spans="2:6" x14ac:dyDescent="0.45">
      <c r="B22" s="5">
        <v>11</v>
      </c>
      <c r="C22" s="26"/>
      <c r="D22" s="27"/>
      <c r="E22" s="5">
        <f ca="1">E11*$H$10+F11*$I$10</f>
        <v>2.0109216401274471E-2</v>
      </c>
      <c r="F22" s="28">
        <f ca="1">E11*$H$11+F11*$I$11</f>
        <v>0.48691647245010594</v>
      </c>
    </row>
    <row r="23" spans="2:6" x14ac:dyDescent="0.45">
      <c r="B23" s="5">
        <v>12</v>
      </c>
      <c r="C23" s="1"/>
      <c r="D23" s="28"/>
      <c r="E23" s="5"/>
      <c r="F23" s="28"/>
    </row>
    <row r="24" spans="2:6" x14ac:dyDescent="0.45">
      <c r="B24" s="5">
        <v>13</v>
      </c>
      <c r="C24" s="1"/>
      <c r="D24" s="28"/>
      <c r="E24" s="5"/>
      <c r="F24" s="28"/>
    </row>
    <row r="25" spans="2:6" x14ac:dyDescent="0.45">
      <c r="B25" s="5">
        <v>14</v>
      </c>
      <c r="C25" s="1"/>
      <c r="D25" s="28"/>
      <c r="E25" s="5"/>
      <c r="F25" s="28"/>
    </row>
    <row r="26" spans="2:6" x14ac:dyDescent="0.45">
      <c r="B26" s="5">
        <v>15</v>
      </c>
      <c r="C26" s="1"/>
      <c r="D26" s="28"/>
      <c r="E26" s="5"/>
      <c r="F26" s="28"/>
    </row>
    <row r="27" spans="2:6" x14ac:dyDescent="0.45">
      <c r="B27" s="5">
        <v>16</v>
      </c>
      <c r="C27" s="1"/>
      <c r="D27" s="28"/>
      <c r="E27" s="5"/>
      <c r="F27" s="28"/>
    </row>
    <row r="28" spans="2:6" x14ac:dyDescent="0.45">
      <c r="B28" s="5">
        <v>17</v>
      </c>
      <c r="C28" s="1"/>
      <c r="D28" s="28"/>
      <c r="E28" s="5"/>
      <c r="F28" s="28"/>
    </row>
    <row r="29" spans="2:6" x14ac:dyDescent="0.45">
      <c r="B29" s="5">
        <v>18</v>
      </c>
      <c r="C29" s="1"/>
      <c r="D29" s="28"/>
      <c r="E29" s="5"/>
      <c r="F29" s="28"/>
    </row>
    <row r="30" spans="2:6" x14ac:dyDescent="0.45">
      <c r="B30" s="5">
        <v>19</v>
      </c>
      <c r="C30" s="1"/>
      <c r="D30" s="28"/>
      <c r="E30" s="5"/>
      <c r="F30" s="28"/>
    </row>
    <row r="31" spans="2:6" x14ac:dyDescent="0.45">
      <c r="B31" s="5">
        <v>20</v>
      </c>
      <c r="C31" s="1"/>
      <c r="D31" s="28"/>
      <c r="E31" s="5"/>
      <c r="F31" s="28"/>
    </row>
    <row r="32" spans="2:6" x14ac:dyDescent="0.45">
      <c r="B32" s="5">
        <v>21</v>
      </c>
      <c r="C32" s="1"/>
      <c r="D32" s="28"/>
      <c r="E32" s="5"/>
      <c r="F32" s="28"/>
    </row>
    <row r="33" spans="2:6" ht="18.600000000000001" thickBot="1" x14ac:dyDescent="0.5">
      <c r="B33" s="5">
        <v>22</v>
      </c>
      <c r="C33" s="2"/>
      <c r="D33" s="30"/>
      <c r="E33" s="5"/>
      <c r="F33" s="28"/>
    </row>
    <row r="34" spans="2:6" x14ac:dyDescent="0.45">
      <c r="B34" s="5">
        <v>23</v>
      </c>
      <c r="C34" s="26"/>
      <c r="D34" s="27"/>
      <c r="E34" s="5"/>
      <c r="F34" s="28"/>
    </row>
    <row r="35" spans="2:6" x14ac:dyDescent="0.45">
      <c r="B35" s="5">
        <v>24</v>
      </c>
      <c r="C35" s="1"/>
      <c r="D35" s="28"/>
      <c r="E35" s="5"/>
      <c r="F35" s="28"/>
    </row>
    <row r="36" spans="2:6" x14ac:dyDescent="0.45">
      <c r="B36" s="5">
        <v>25</v>
      </c>
      <c r="C36" s="1"/>
      <c r="D36" s="28"/>
      <c r="E36" s="5"/>
      <c r="F36" s="28"/>
    </row>
    <row r="37" spans="2:6" x14ac:dyDescent="0.45">
      <c r="B37" s="5">
        <v>26</v>
      </c>
      <c r="C37" s="1"/>
      <c r="D37" s="28"/>
      <c r="E37" s="5"/>
      <c r="F37" s="28"/>
    </row>
    <row r="38" spans="2:6" x14ac:dyDescent="0.45">
      <c r="B38" s="5">
        <v>27</v>
      </c>
      <c r="C38" s="1"/>
      <c r="D38" s="28"/>
      <c r="E38" s="5"/>
      <c r="F38" s="28"/>
    </row>
    <row r="39" spans="2:6" x14ac:dyDescent="0.45">
      <c r="B39" s="5">
        <v>28</v>
      </c>
      <c r="C39" s="1"/>
      <c r="D39" s="28"/>
      <c r="E39" s="5"/>
      <c r="F39" s="28"/>
    </row>
    <row r="40" spans="2:6" x14ac:dyDescent="0.45">
      <c r="B40" s="5">
        <v>29</v>
      </c>
      <c r="C40" s="1"/>
      <c r="D40" s="28"/>
      <c r="E40" s="5"/>
      <c r="F40" s="28"/>
    </row>
    <row r="41" spans="2:6" x14ac:dyDescent="0.45">
      <c r="B41" s="5">
        <v>30</v>
      </c>
      <c r="C41" s="1"/>
      <c r="D41" s="28"/>
      <c r="E41" s="5"/>
      <c r="F41" s="28"/>
    </row>
    <row r="42" spans="2:6" x14ac:dyDescent="0.45">
      <c r="B42" s="5">
        <v>31</v>
      </c>
      <c r="C42" s="1"/>
      <c r="D42" s="28"/>
      <c r="E42" s="5"/>
      <c r="F42" s="28"/>
    </row>
    <row r="43" spans="2:6" x14ac:dyDescent="0.45">
      <c r="B43" s="5">
        <v>32</v>
      </c>
      <c r="C43" s="1"/>
      <c r="D43" s="28"/>
      <c r="E43" s="5"/>
      <c r="F43" s="28"/>
    </row>
    <row r="44" spans="2:6" ht="18.600000000000001" thickBot="1" x14ac:dyDescent="0.5">
      <c r="B44" s="5">
        <v>33</v>
      </c>
      <c r="C44" s="2"/>
      <c r="D44" s="30"/>
      <c r="E44" s="5"/>
      <c r="F44" s="28"/>
    </row>
    <row r="45" spans="2:6" x14ac:dyDescent="0.45">
      <c r="B45" s="5">
        <v>34</v>
      </c>
      <c r="C45" s="26"/>
      <c r="D45" s="27"/>
      <c r="E45" s="5"/>
      <c r="F45" s="28"/>
    </row>
    <row r="46" spans="2:6" x14ac:dyDescent="0.45">
      <c r="B46" s="5">
        <v>35</v>
      </c>
      <c r="C46" s="1"/>
      <c r="D46" s="28"/>
      <c r="E46" s="5"/>
      <c r="F46" s="28"/>
    </row>
    <row r="47" spans="2:6" x14ac:dyDescent="0.45">
      <c r="B47" s="5">
        <v>36</v>
      </c>
      <c r="C47" s="1"/>
      <c r="D47" s="28"/>
      <c r="E47" s="5"/>
      <c r="F47" s="28"/>
    </row>
    <row r="48" spans="2:6" x14ac:dyDescent="0.45">
      <c r="B48" s="5">
        <v>37</v>
      </c>
      <c r="C48" s="1"/>
      <c r="D48" s="28"/>
      <c r="E48" s="5"/>
      <c r="F48" s="28"/>
    </row>
    <row r="49" spans="2:6" x14ac:dyDescent="0.45">
      <c r="B49" s="5">
        <v>38</v>
      </c>
      <c r="C49" s="1"/>
      <c r="D49" s="28"/>
      <c r="E49" s="5"/>
      <c r="F49" s="28"/>
    </row>
    <row r="50" spans="2:6" x14ac:dyDescent="0.45">
      <c r="B50" s="5">
        <v>39</v>
      </c>
      <c r="C50" s="1"/>
      <c r="D50" s="28"/>
      <c r="E50" s="5"/>
      <c r="F50" s="28"/>
    </row>
    <row r="51" spans="2:6" x14ac:dyDescent="0.45">
      <c r="B51" s="5">
        <v>40</v>
      </c>
      <c r="C51" s="1"/>
      <c r="D51" s="28"/>
      <c r="E51" s="5"/>
      <c r="F51" s="28"/>
    </row>
    <row r="52" spans="2:6" x14ac:dyDescent="0.45">
      <c r="B52" s="5">
        <v>41</v>
      </c>
      <c r="C52" s="1"/>
      <c r="D52" s="28"/>
      <c r="E52" s="5"/>
      <c r="F52" s="28"/>
    </row>
    <row r="53" spans="2:6" x14ac:dyDescent="0.45">
      <c r="B53" s="5">
        <v>42</v>
      </c>
      <c r="C53" s="1"/>
      <c r="D53" s="28"/>
      <c r="E53" s="5"/>
      <c r="F53" s="28"/>
    </row>
    <row r="54" spans="2:6" x14ac:dyDescent="0.45">
      <c r="B54" s="5">
        <v>43</v>
      </c>
      <c r="C54" s="1"/>
      <c r="D54" s="28"/>
      <c r="E54" s="5"/>
      <c r="F54" s="28"/>
    </row>
    <row r="55" spans="2:6" ht="18.600000000000001" thickBot="1" x14ac:dyDescent="0.5">
      <c r="B55" s="5">
        <v>44</v>
      </c>
      <c r="C55" s="2"/>
      <c r="D55" s="30"/>
      <c r="E55" s="5"/>
      <c r="F55" s="28"/>
    </row>
    <row r="56" spans="2:6" x14ac:dyDescent="0.45">
      <c r="B56" s="5">
        <v>45</v>
      </c>
      <c r="C56" s="26"/>
      <c r="D56" s="27"/>
      <c r="E56" s="5"/>
      <c r="F56" s="28"/>
    </row>
    <row r="57" spans="2:6" x14ac:dyDescent="0.45">
      <c r="B57" s="5">
        <v>46</v>
      </c>
      <c r="C57" s="1"/>
      <c r="D57" s="28"/>
      <c r="E57" s="5"/>
      <c r="F57" s="28"/>
    </row>
    <row r="58" spans="2:6" x14ac:dyDescent="0.45">
      <c r="B58" s="5">
        <v>47</v>
      </c>
      <c r="C58" s="1"/>
      <c r="D58" s="28"/>
      <c r="E58" s="5"/>
      <c r="F58" s="28"/>
    </row>
    <row r="59" spans="2:6" x14ac:dyDescent="0.45">
      <c r="B59" s="5">
        <v>48</v>
      </c>
      <c r="C59" s="1"/>
      <c r="D59" s="28"/>
      <c r="E59" s="5"/>
      <c r="F59" s="28"/>
    </row>
    <row r="60" spans="2:6" x14ac:dyDescent="0.45">
      <c r="B60" s="5">
        <v>49</v>
      </c>
      <c r="C60" s="1"/>
      <c r="D60" s="28"/>
      <c r="E60" s="5"/>
      <c r="F60" s="28"/>
    </row>
    <row r="61" spans="2:6" x14ac:dyDescent="0.45">
      <c r="B61" s="5">
        <v>50</v>
      </c>
      <c r="C61" s="1"/>
      <c r="D61" s="28"/>
      <c r="E61" s="5"/>
      <c r="F61" s="28"/>
    </row>
    <row r="62" spans="2:6" x14ac:dyDescent="0.45">
      <c r="B62" s="5">
        <v>51</v>
      </c>
      <c r="C62" s="1"/>
      <c r="D62" s="28"/>
      <c r="E62" s="5"/>
      <c r="F62" s="28"/>
    </row>
    <row r="63" spans="2:6" x14ac:dyDescent="0.45">
      <c r="B63" s="5">
        <v>52</v>
      </c>
      <c r="C63" s="1"/>
      <c r="D63" s="28"/>
      <c r="E63" s="5"/>
      <c r="F63" s="28"/>
    </row>
    <row r="64" spans="2:6" x14ac:dyDescent="0.45">
      <c r="B64" s="5">
        <v>53</v>
      </c>
      <c r="C64" s="1"/>
      <c r="D64" s="28"/>
      <c r="E64" s="5"/>
      <c r="F64" s="28"/>
    </row>
    <row r="65" spans="2:6" x14ac:dyDescent="0.45">
      <c r="B65" s="5">
        <v>54</v>
      </c>
      <c r="C65" s="1"/>
      <c r="D65" s="28"/>
      <c r="E65" s="5"/>
      <c r="F65" s="28"/>
    </row>
    <row r="66" spans="2:6" ht="18.600000000000001" thickBot="1" x14ac:dyDescent="0.5">
      <c r="B66" s="5">
        <v>55</v>
      </c>
      <c r="C66" s="2"/>
      <c r="D66" s="30"/>
      <c r="E66" s="5"/>
      <c r="F66" s="28"/>
    </row>
    <row r="67" spans="2:6" x14ac:dyDescent="0.45">
      <c r="B67" s="5">
        <v>56</v>
      </c>
      <c r="C67" s="9"/>
      <c r="D67" s="9"/>
      <c r="E67" s="5"/>
      <c r="F67" s="28"/>
    </row>
    <row r="68" spans="2:6" x14ac:dyDescent="0.45">
      <c r="B68" s="5">
        <v>57</v>
      </c>
      <c r="C68" s="9"/>
      <c r="D68" s="9"/>
      <c r="E68" s="5"/>
      <c r="F68" s="28"/>
    </row>
    <row r="69" spans="2:6" x14ac:dyDescent="0.45">
      <c r="B69" s="5">
        <v>58</v>
      </c>
      <c r="C69" s="9"/>
      <c r="D69" s="9"/>
      <c r="E69" s="5"/>
      <c r="F69" s="28"/>
    </row>
    <row r="70" spans="2:6" x14ac:dyDescent="0.45">
      <c r="B70" s="5">
        <v>59</v>
      </c>
      <c r="C70" s="9"/>
      <c r="D70" s="9"/>
      <c r="E70" s="5"/>
      <c r="F70" s="28"/>
    </row>
    <row r="71" spans="2:6" x14ac:dyDescent="0.45">
      <c r="B71" s="5">
        <v>60</v>
      </c>
      <c r="C71" s="9"/>
      <c r="D71" s="9"/>
      <c r="E71" s="5"/>
      <c r="F71" s="28"/>
    </row>
    <row r="72" spans="2:6" x14ac:dyDescent="0.45">
      <c r="B72" s="5">
        <v>61</v>
      </c>
      <c r="C72" s="9"/>
      <c r="D72" s="9"/>
      <c r="E72" s="5"/>
      <c r="F72" s="28"/>
    </row>
    <row r="73" spans="2:6" x14ac:dyDescent="0.45">
      <c r="B73" s="5">
        <v>62</v>
      </c>
      <c r="C73" s="9"/>
      <c r="D73" s="9"/>
      <c r="E73" s="5"/>
      <c r="F73" s="28"/>
    </row>
    <row r="74" spans="2:6" x14ac:dyDescent="0.45">
      <c r="B74" s="5">
        <v>63</v>
      </c>
      <c r="C74" s="9"/>
      <c r="D74" s="9"/>
      <c r="E74" s="5"/>
      <c r="F74" s="28"/>
    </row>
    <row r="75" spans="2:6" x14ac:dyDescent="0.45">
      <c r="B75" s="5">
        <v>64</v>
      </c>
      <c r="C75" s="9"/>
      <c r="D75" s="9"/>
      <c r="E75" s="5"/>
      <c r="F75" s="28"/>
    </row>
    <row r="76" spans="2:6" x14ac:dyDescent="0.45">
      <c r="B76" s="5">
        <v>65</v>
      </c>
      <c r="C76" s="9"/>
      <c r="D76" s="9"/>
      <c r="E76" s="5"/>
      <c r="F76" s="28"/>
    </row>
    <row r="77" spans="2:6" ht="18.600000000000001" thickBot="1" x14ac:dyDescent="0.5">
      <c r="B77" s="6">
        <v>66</v>
      </c>
      <c r="C77" s="29"/>
      <c r="D77" s="29"/>
      <c r="E77" s="5"/>
      <c r="F77" s="28"/>
    </row>
    <row r="78" spans="2:6" x14ac:dyDescent="0.45">
      <c r="E78" s="5"/>
      <c r="F78" s="28"/>
    </row>
    <row r="79" spans="2:6" x14ac:dyDescent="0.45">
      <c r="E79" s="5"/>
      <c r="F79" s="28"/>
    </row>
    <row r="80" spans="2:6" x14ac:dyDescent="0.45">
      <c r="E80" s="5"/>
      <c r="F80" s="28"/>
    </row>
    <row r="81" spans="5:6" ht="18.600000000000001" thickBot="1" x14ac:dyDescent="0.5">
      <c r="E81" s="6"/>
      <c r="F81" s="30"/>
    </row>
  </sheetData>
  <phoneticPr fontId="1"/>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6A494-B075-434D-A8F9-8C5ADE32D242}">
  <sheetPr>
    <tabColor rgb="FFFF0000"/>
  </sheetPr>
  <dimension ref="B9:I81"/>
  <sheetViews>
    <sheetView workbookViewId="0">
      <selection activeCell="B10" sqref="B10"/>
    </sheetView>
  </sheetViews>
  <sheetFormatPr defaultRowHeight="18" x14ac:dyDescent="0.45"/>
  <cols>
    <col min="3" max="4" width="11.8984375" customWidth="1"/>
  </cols>
  <sheetData>
    <row r="9" spans="2:9" ht="18.600000000000001" thickBot="1" x14ac:dyDescent="0.5"/>
    <row r="10" spans="2:9" ht="18.600000000000001" thickBot="1" x14ac:dyDescent="0.5">
      <c r="B10" s="31" t="s">
        <v>4</v>
      </c>
      <c r="C10" s="32" t="s">
        <v>8</v>
      </c>
      <c r="D10" s="31" t="s">
        <v>9</v>
      </c>
      <c r="E10" s="31" t="s">
        <v>0</v>
      </c>
      <c r="F10" s="34" t="s">
        <v>1</v>
      </c>
      <c r="H10" s="26">
        <f>COS(2*PI()/6)</f>
        <v>0.50000000000000011</v>
      </c>
      <c r="I10" s="27">
        <f>-SIN(2*PI()/6)</f>
        <v>-0.8660254037844386</v>
      </c>
    </row>
    <row r="11" spans="2:9" ht="18.600000000000001" thickBot="1" x14ac:dyDescent="0.5">
      <c r="B11" s="5">
        <v>0</v>
      </c>
      <c r="C11" s="9">
        <f ca="1">RAND()</f>
        <v>0.23416755526390098</v>
      </c>
      <c r="D11" s="5">
        <f ca="1">RAND()</f>
        <v>7.1759765364809658E-2</v>
      </c>
      <c r="E11" s="40">
        <f ca="1">C11*COS(2*PI()*D11/6)</f>
        <v>0.23350669201646995</v>
      </c>
      <c r="F11" s="27">
        <f ca="1">C11*SIN(2*PI()*D11/6)</f>
        <v>1.758035044581199E-2</v>
      </c>
      <c r="H11" s="2">
        <f>SIN(2*PI()/6)</f>
        <v>0.8660254037844386</v>
      </c>
      <c r="I11" s="30">
        <f>COS(2*PI()/6)</f>
        <v>0.50000000000000011</v>
      </c>
    </row>
    <row r="12" spans="2:9" x14ac:dyDescent="0.45">
      <c r="B12" s="5">
        <v>1</v>
      </c>
      <c r="C12" s="9">
        <f t="shared" ref="C12:D21" ca="1" si="0">RAND()</f>
        <v>0.32149985262006964</v>
      </c>
      <c r="D12" s="5">
        <f t="shared" ca="1" si="0"/>
        <v>0.33944019340763276</v>
      </c>
      <c r="E12" s="5">
        <f t="shared" ref="E12:E21" ca="1" si="1">C12*COS(2*PI()*D12/6)</f>
        <v>0.30140166585869083</v>
      </c>
      <c r="F12" s="28">
        <f t="shared" ref="F12:F21" ca="1" si="2">C12*SIN(2*PI()*D12/6)</f>
        <v>0.11188919095396377</v>
      </c>
    </row>
    <row r="13" spans="2:9" x14ac:dyDescent="0.45">
      <c r="B13" s="5">
        <v>2</v>
      </c>
      <c r="C13" s="9">
        <f t="shared" ca="1" si="0"/>
        <v>0.88762630770423245</v>
      </c>
      <c r="D13" s="5">
        <f t="shared" ca="1" si="0"/>
        <v>0.37519630870060594</v>
      </c>
      <c r="E13" s="5">
        <f t="shared" ca="1" si="1"/>
        <v>0.81998993152998989</v>
      </c>
      <c r="F13" s="28">
        <f t="shared" ca="1" si="2"/>
        <v>0.33984845787216866</v>
      </c>
    </row>
    <row r="14" spans="2:9" x14ac:dyDescent="0.45">
      <c r="B14" s="5">
        <v>3</v>
      </c>
      <c r="C14" s="9">
        <f t="shared" ca="1" si="0"/>
        <v>3.0534754495295635E-2</v>
      </c>
      <c r="D14" s="5">
        <f t="shared" ca="1" si="0"/>
        <v>2.7655616149043771E-2</v>
      </c>
      <c r="E14" s="5">
        <f t="shared" ca="1" si="1"/>
        <v>3.052195013177986E-2</v>
      </c>
      <c r="F14" s="28">
        <f t="shared" ca="1" si="2"/>
        <v>8.8419016117592729E-4</v>
      </c>
    </row>
    <row r="15" spans="2:9" x14ac:dyDescent="0.45">
      <c r="B15" s="5">
        <v>4</v>
      </c>
      <c r="C15" s="9">
        <f t="shared" ca="1" si="0"/>
        <v>0.21144291732845766</v>
      </c>
      <c r="D15" s="5">
        <f t="shared" ca="1" si="0"/>
        <v>0.86498581439526079</v>
      </c>
      <c r="E15" s="5">
        <f t="shared" ca="1" si="1"/>
        <v>0.13047033729413945</v>
      </c>
      <c r="F15" s="28">
        <f t="shared" ca="1" si="2"/>
        <v>0.16638989865590537</v>
      </c>
    </row>
    <row r="16" spans="2:9" x14ac:dyDescent="0.45">
      <c r="B16" s="5">
        <v>5</v>
      </c>
      <c r="C16" s="9">
        <f t="shared" ca="1" si="0"/>
        <v>0.58569990385548787</v>
      </c>
      <c r="D16" s="5">
        <f t="shared" ca="1" si="0"/>
        <v>0.79541101393369951</v>
      </c>
      <c r="E16" s="5">
        <f t="shared" ca="1" si="1"/>
        <v>0.39399687233021896</v>
      </c>
      <c r="F16" s="28">
        <f t="shared" ca="1" si="2"/>
        <v>0.43337148264546999</v>
      </c>
    </row>
    <row r="17" spans="2:6" x14ac:dyDescent="0.45">
      <c r="B17" s="5">
        <v>6</v>
      </c>
      <c r="C17" s="9">
        <f t="shared" ca="1" si="0"/>
        <v>0.29950461040455878</v>
      </c>
      <c r="D17" s="5">
        <f t="shared" ca="1" si="0"/>
        <v>0.64535796766688991</v>
      </c>
      <c r="E17" s="5">
        <f t="shared" ca="1" si="1"/>
        <v>0.23367229071003137</v>
      </c>
      <c r="F17" s="28">
        <f t="shared" ca="1" si="2"/>
        <v>0.18735066641971981</v>
      </c>
    </row>
    <row r="18" spans="2:6" x14ac:dyDescent="0.45">
      <c r="B18" s="5">
        <v>7</v>
      </c>
      <c r="C18" s="9">
        <f t="shared" ca="1" si="0"/>
        <v>0.8918354185059324</v>
      </c>
      <c r="D18" s="5">
        <f t="shared" ca="1" si="0"/>
        <v>3.5563563495349504E-2</v>
      </c>
      <c r="E18" s="5">
        <f t="shared" ca="1" si="1"/>
        <v>0.8912170144893159</v>
      </c>
      <c r="F18" s="28">
        <f t="shared" ca="1" si="2"/>
        <v>3.3206125736104881E-2</v>
      </c>
    </row>
    <row r="19" spans="2:6" x14ac:dyDescent="0.45">
      <c r="B19" s="5">
        <v>8</v>
      </c>
      <c r="C19" s="9">
        <f t="shared" ca="1" si="0"/>
        <v>0.88538704976692462</v>
      </c>
      <c r="D19" s="5">
        <f t="shared" ca="1" si="0"/>
        <v>0.86767026691024784</v>
      </c>
      <c r="E19" s="5">
        <f t="shared" ca="1" si="1"/>
        <v>0.54436514197565922</v>
      </c>
      <c r="F19" s="28">
        <f t="shared" ca="1" si="2"/>
        <v>0.69826701203536679</v>
      </c>
    </row>
    <row r="20" spans="2:6" x14ac:dyDescent="0.45">
      <c r="B20" s="5">
        <v>9</v>
      </c>
      <c r="C20" s="9">
        <f t="shared" ca="1" si="0"/>
        <v>0.9690488468578865</v>
      </c>
      <c r="D20" s="5">
        <f t="shared" ca="1" si="0"/>
        <v>0.72944766356900215</v>
      </c>
      <c r="E20" s="5">
        <f t="shared" ca="1" si="1"/>
        <v>0.69980874808502058</v>
      </c>
      <c r="F20" s="28">
        <f t="shared" ca="1" si="2"/>
        <v>0.67031588352080373</v>
      </c>
    </row>
    <row r="21" spans="2:6" ht="18.600000000000001" thickBot="1" x14ac:dyDescent="0.5">
      <c r="B21" s="5">
        <v>10</v>
      </c>
      <c r="C21" s="29">
        <f t="shared" ca="1" si="0"/>
        <v>0.73647288659618038</v>
      </c>
      <c r="D21" s="6">
        <f t="shared" ca="1" si="0"/>
        <v>0.95014766979179766</v>
      </c>
      <c r="E21" s="6">
        <f t="shared" ca="1" si="1"/>
        <v>0.40101636316423395</v>
      </c>
      <c r="F21" s="30">
        <f t="shared" ca="1" si="2"/>
        <v>0.61772015441123629</v>
      </c>
    </row>
    <row r="22" spans="2:6" x14ac:dyDescent="0.45">
      <c r="B22" s="5">
        <v>11</v>
      </c>
      <c r="C22" s="26"/>
      <c r="D22" s="27"/>
      <c r="E22" s="5">
        <f ca="1">E11*$H$10+F11*$I$10</f>
        <v>0.10152831591472875</v>
      </c>
      <c r="F22" s="28">
        <f ca="1">E11*$H$11+F11*$I$11</f>
        <v>0.21101290246283794</v>
      </c>
    </row>
    <row r="23" spans="2:6" x14ac:dyDescent="0.45">
      <c r="B23" s="5">
        <v>12</v>
      </c>
      <c r="C23" s="1"/>
      <c r="D23" s="28"/>
      <c r="E23" s="5">
        <f t="shared" ref="E23:E77" ca="1" si="3">E12*$H$10+F12*$I$10</f>
        <v>5.3801951154324817E-2</v>
      </c>
      <c r="F23" s="28">
        <f t="shared" ref="F23:F77" ca="1" si="4">E12*$H$11+F12*$I$11</f>
        <v>0.31696609485355703</v>
      </c>
    </row>
    <row r="24" spans="2:6" x14ac:dyDescent="0.45">
      <c r="B24" s="5">
        <v>13</v>
      </c>
      <c r="C24" s="1"/>
      <c r="D24" s="28"/>
      <c r="E24" s="5">
        <f t="shared" ca="1" si="3"/>
        <v>0.11567756781073141</v>
      </c>
      <c r="F24" s="28">
        <f t="shared" ca="1" si="4"/>
        <v>0.880056340488518</v>
      </c>
    </row>
    <row r="25" spans="2:6" x14ac:dyDescent="0.45">
      <c r="B25" s="5">
        <v>14</v>
      </c>
      <c r="C25" s="1"/>
      <c r="D25" s="28"/>
      <c r="E25" s="5">
        <f t="shared" ca="1" si="3"/>
        <v>1.4495243924535323E-2</v>
      </c>
      <c r="F25" s="28">
        <f t="shared" ca="1" si="4"/>
        <v>2.6874879267751117E-2</v>
      </c>
    </row>
    <row r="26" spans="2:6" x14ac:dyDescent="0.45">
      <c r="B26" s="5">
        <v>15</v>
      </c>
      <c r="C26" s="1"/>
      <c r="D26" s="28"/>
      <c r="E26" s="5">
        <f t="shared" ca="1" si="3"/>
        <v>-7.8862710522062507E-2</v>
      </c>
      <c r="F26" s="28">
        <f t="shared" ca="1" si="4"/>
        <v>0.19618557586500171</v>
      </c>
    </row>
    <row r="27" spans="2:6" x14ac:dyDescent="0.45">
      <c r="B27" s="5">
        <v>16</v>
      </c>
      <c r="C27" s="1"/>
      <c r="D27" s="28"/>
      <c r="E27" s="5">
        <f t="shared" ca="1" si="3"/>
        <v>-0.17831227708159442</v>
      </c>
      <c r="F27" s="28">
        <f t="shared" ca="1" si="4"/>
        <v>0.5578970417723188</v>
      </c>
    </row>
    <row r="28" spans="2:6" x14ac:dyDescent="0.45">
      <c r="B28" s="5">
        <v>17</v>
      </c>
      <c r="C28" s="1"/>
      <c r="D28" s="28"/>
      <c r="E28" s="5">
        <f t="shared" ca="1" si="3"/>
        <v>-4.5414291180405797E-2</v>
      </c>
      <c r="F28" s="28">
        <f t="shared" ca="1" si="4"/>
        <v>0.29604147312524953</v>
      </c>
    </row>
    <row r="29" spans="2:6" x14ac:dyDescent="0.45">
      <c r="B29" s="5">
        <v>18</v>
      </c>
      <c r="C29" s="1"/>
      <c r="D29" s="28"/>
      <c r="E29" s="5">
        <f t="shared" ca="1" si="3"/>
        <v>0.41685115879593099</v>
      </c>
      <c r="F29" s="28">
        <f t="shared" ca="1" si="4"/>
        <v>0.7884196377007241</v>
      </c>
    </row>
    <row r="30" spans="2:6" x14ac:dyDescent="0.45">
      <c r="B30" s="5">
        <v>19</v>
      </c>
      <c r="C30" s="1"/>
      <c r="D30" s="28"/>
      <c r="E30" s="5">
        <f t="shared" ca="1" si="3"/>
        <v>-0.33253440005945228</v>
      </c>
      <c r="F30" s="28">
        <f t="shared" ca="1" si="4"/>
        <v>0.82056754790332698</v>
      </c>
    </row>
    <row r="31" spans="2:6" x14ac:dyDescent="0.45">
      <c r="B31" s="5">
        <v>20</v>
      </c>
      <c r="C31" s="1"/>
      <c r="D31" s="28"/>
      <c r="E31" s="5">
        <f t="shared" ca="1" si="3"/>
        <v>-0.23060620964671646</v>
      </c>
      <c r="F31" s="28">
        <f t="shared" ca="1" si="4"/>
        <v>0.94121009539261435</v>
      </c>
    </row>
    <row r="32" spans="2:6" x14ac:dyDescent="0.45">
      <c r="B32" s="5">
        <v>21</v>
      </c>
      <c r="C32" s="1"/>
      <c r="D32" s="28"/>
      <c r="E32" s="5">
        <f t="shared" ca="1" si="3"/>
        <v>-0.33445316456765961</v>
      </c>
      <c r="F32" s="28">
        <f t="shared" ca="1" si="4"/>
        <v>0.65615043503909098</v>
      </c>
    </row>
    <row r="33" spans="2:6" ht="18.600000000000001" thickBot="1" x14ac:dyDescent="0.5">
      <c r="B33" s="5">
        <v>22</v>
      </c>
      <c r="C33" s="2"/>
      <c r="D33" s="30"/>
      <c r="E33" s="5">
        <f t="shared" ca="1" si="3"/>
        <v>-0.13197837610174121</v>
      </c>
      <c r="F33" s="28">
        <f t="shared" ca="1" si="4"/>
        <v>0.193432552017026</v>
      </c>
    </row>
    <row r="34" spans="2:6" x14ac:dyDescent="0.45">
      <c r="B34" s="5">
        <v>23</v>
      </c>
      <c r="C34" s="26"/>
      <c r="D34" s="27"/>
      <c r="E34" s="5">
        <f t="shared" ca="1" si="3"/>
        <v>-0.24759971470436598</v>
      </c>
      <c r="F34" s="28">
        <f t="shared" ca="1" si="4"/>
        <v>0.20507690389959332</v>
      </c>
    </row>
    <row r="35" spans="2:6" x14ac:dyDescent="0.45">
      <c r="B35" s="5">
        <v>24</v>
      </c>
      <c r="C35" s="1"/>
      <c r="D35" s="28"/>
      <c r="E35" s="5">
        <f t="shared" ca="1" si="3"/>
        <v>-0.70431236371925854</v>
      </c>
      <c r="F35" s="28">
        <f t="shared" ca="1" si="4"/>
        <v>0.54020788261634956</v>
      </c>
    </row>
    <row r="36" spans="2:6" x14ac:dyDescent="0.45">
      <c r="B36" s="5">
        <v>25</v>
      </c>
      <c r="C36" s="1"/>
      <c r="D36" s="28"/>
      <c r="E36" s="5">
        <f t="shared" ca="1" si="3"/>
        <v>-1.6026706207244536E-2</v>
      </c>
      <c r="F36" s="28">
        <f t="shared" ca="1" si="4"/>
        <v>2.5990689106575197E-2</v>
      </c>
    </row>
    <row r="37" spans="2:6" x14ac:dyDescent="0.45">
      <c r="B37" s="5">
        <v>26</v>
      </c>
      <c r="C37" s="1"/>
      <c r="D37" s="28"/>
      <c r="E37" s="5">
        <f t="shared" ca="1" si="3"/>
        <v>-0.20933304781620196</v>
      </c>
      <c r="F37" s="28">
        <f t="shared" ca="1" si="4"/>
        <v>2.9795677209096399E-2</v>
      </c>
    </row>
    <row r="38" spans="2:6" x14ac:dyDescent="0.45">
      <c r="B38" s="5">
        <v>27</v>
      </c>
      <c r="C38" s="1"/>
      <c r="D38" s="28"/>
      <c r="E38" s="5">
        <f t="shared" ca="1" si="3"/>
        <v>-0.57230914941181343</v>
      </c>
      <c r="F38" s="28">
        <f t="shared" ca="1" si="4"/>
        <v>0.12452555912684896</v>
      </c>
    </row>
    <row r="39" spans="2:6" x14ac:dyDescent="0.45">
      <c r="B39" s="5">
        <v>28</v>
      </c>
      <c r="C39" s="1"/>
      <c r="D39" s="28"/>
      <c r="E39" s="5">
        <f t="shared" ca="1" si="3"/>
        <v>-0.27908658189043717</v>
      </c>
      <c r="F39" s="28">
        <f t="shared" ca="1" si="4"/>
        <v>0.1086908067055298</v>
      </c>
    </row>
    <row r="40" spans="2:6" x14ac:dyDescent="0.45">
      <c r="B40" s="5">
        <v>29</v>
      </c>
      <c r="C40" s="1"/>
      <c r="D40" s="28"/>
      <c r="E40" s="5">
        <f t="shared" ca="1" si="3"/>
        <v>-0.47436585569338474</v>
      </c>
      <c r="F40" s="28">
        <f t="shared" ca="1" si="4"/>
        <v>0.7552135119646195</v>
      </c>
    </row>
    <row r="41" spans="2:6" x14ac:dyDescent="0.45">
      <c r="B41" s="5">
        <v>30</v>
      </c>
      <c r="C41" s="1"/>
      <c r="D41" s="28"/>
      <c r="E41" s="5">
        <f t="shared" ca="1" si="3"/>
        <v>-0.87689954203511156</v>
      </c>
      <c r="F41" s="28">
        <f t="shared" ca="1" si="4"/>
        <v>0.12230053586796041</v>
      </c>
    </row>
    <row r="42" spans="2:6" x14ac:dyDescent="0.45">
      <c r="B42" s="5">
        <v>31</v>
      </c>
      <c r="C42" s="1"/>
      <c r="D42" s="28"/>
      <c r="E42" s="5">
        <f t="shared" ca="1" si="3"/>
        <v>-0.9304149577317371</v>
      </c>
      <c r="F42" s="28">
        <f t="shared" ca="1" si="4"/>
        <v>0.27089421187181073</v>
      </c>
    </row>
    <row r="43" spans="2:6" x14ac:dyDescent="0.45">
      <c r="B43" s="5">
        <v>32</v>
      </c>
      <c r="C43" s="1"/>
      <c r="D43" s="28"/>
      <c r="E43" s="5">
        <f t="shared" ca="1" si="3"/>
        <v>-0.73546952773189367</v>
      </c>
      <c r="F43" s="28">
        <f t="shared" ca="1" si="4"/>
        <v>3.8430280627854863E-2</v>
      </c>
    </row>
    <row r="44" spans="2:6" ht="18.600000000000001" thickBot="1" x14ac:dyDescent="0.5">
      <c r="B44" s="5">
        <v>33</v>
      </c>
      <c r="C44" s="2"/>
      <c r="D44" s="30"/>
      <c r="E44" s="5">
        <f t="shared" ca="1" si="3"/>
        <v>-0.23350669201646998</v>
      </c>
      <c r="F44" s="28">
        <f t="shared" ca="1" si="4"/>
        <v>-1.7580350445811896E-2</v>
      </c>
    </row>
    <row r="45" spans="2:6" x14ac:dyDescent="0.45">
      <c r="B45" s="5">
        <v>34</v>
      </c>
      <c r="C45" s="26"/>
      <c r="D45" s="27"/>
      <c r="E45" s="5">
        <f t="shared" ca="1" si="3"/>
        <v>-0.30140166585869083</v>
      </c>
      <c r="F45" s="28">
        <f t="shared" ca="1" si="4"/>
        <v>-0.11188919095396366</v>
      </c>
    </row>
    <row r="46" spans="2:6" x14ac:dyDescent="0.45">
      <c r="B46" s="5">
        <v>35</v>
      </c>
      <c r="C46" s="1"/>
      <c r="D46" s="28"/>
      <c r="E46" s="5">
        <f t="shared" ca="1" si="3"/>
        <v>-0.81998993152999011</v>
      </c>
      <c r="F46" s="28">
        <f t="shared" ca="1" si="4"/>
        <v>-0.33984845787216844</v>
      </c>
    </row>
    <row r="47" spans="2:6" x14ac:dyDescent="0.45">
      <c r="B47" s="5">
        <v>36</v>
      </c>
      <c r="C47" s="1"/>
      <c r="D47" s="28"/>
      <c r="E47" s="5">
        <f t="shared" ca="1" si="3"/>
        <v>-3.0521950131779864E-2</v>
      </c>
      <c r="F47" s="28">
        <f t="shared" ca="1" si="4"/>
        <v>-8.841901611759146E-4</v>
      </c>
    </row>
    <row r="48" spans="2:6" x14ac:dyDescent="0.45">
      <c r="B48" s="5">
        <v>37</v>
      </c>
      <c r="C48" s="1"/>
      <c r="D48" s="28"/>
      <c r="E48" s="5">
        <f t="shared" ca="1" si="3"/>
        <v>-0.13047033729413951</v>
      </c>
      <c r="F48" s="28">
        <f t="shared" ca="1" si="4"/>
        <v>-0.16638989865590528</v>
      </c>
    </row>
    <row r="49" spans="2:6" x14ac:dyDescent="0.45">
      <c r="B49" s="5">
        <v>38</v>
      </c>
      <c r="C49" s="1"/>
      <c r="D49" s="28"/>
      <c r="E49" s="5">
        <f t="shared" ca="1" si="3"/>
        <v>-0.39399687233021913</v>
      </c>
      <c r="F49" s="28">
        <f t="shared" ca="1" si="4"/>
        <v>-0.43337148264546987</v>
      </c>
    </row>
    <row r="50" spans="2:6" x14ac:dyDescent="0.45">
      <c r="B50" s="5">
        <v>39</v>
      </c>
      <c r="C50" s="1"/>
      <c r="D50" s="28"/>
      <c r="E50" s="5">
        <f t="shared" ca="1" si="3"/>
        <v>-0.23367229071003143</v>
      </c>
      <c r="F50" s="28">
        <f t="shared" ca="1" si="4"/>
        <v>-0.18735066641971973</v>
      </c>
    </row>
    <row r="51" spans="2:6" x14ac:dyDescent="0.45">
      <c r="B51" s="5">
        <v>40</v>
      </c>
      <c r="C51" s="1"/>
      <c r="D51" s="28"/>
      <c r="E51" s="5">
        <f t="shared" ca="1" si="3"/>
        <v>-0.8912170144893159</v>
      </c>
      <c r="F51" s="28">
        <f t="shared" ca="1" si="4"/>
        <v>-3.3206125736104375E-2</v>
      </c>
    </row>
    <row r="52" spans="2:6" x14ac:dyDescent="0.45">
      <c r="B52" s="5">
        <v>41</v>
      </c>
      <c r="C52" s="1"/>
      <c r="D52" s="28"/>
      <c r="E52" s="5">
        <f t="shared" ca="1" si="3"/>
        <v>-0.54436514197565955</v>
      </c>
      <c r="F52" s="28">
        <f t="shared" ca="1" si="4"/>
        <v>-0.69826701203536656</v>
      </c>
    </row>
    <row r="53" spans="2:6" x14ac:dyDescent="0.45">
      <c r="B53" s="5">
        <v>42</v>
      </c>
      <c r="C53" s="1"/>
      <c r="D53" s="28"/>
      <c r="E53" s="5">
        <f t="shared" ca="1" si="3"/>
        <v>-0.6998087480850208</v>
      </c>
      <c r="F53" s="28">
        <f t="shared" ca="1" si="4"/>
        <v>-0.67031588352080362</v>
      </c>
    </row>
    <row r="54" spans="2:6" x14ac:dyDescent="0.45">
      <c r="B54" s="5">
        <v>43</v>
      </c>
      <c r="C54" s="1"/>
      <c r="D54" s="28"/>
      <c r="E54" s="5">
        <f t="shared" ca="1" si="3"/>
        <v>-0.40101636316423417</v>
      </c>
      <c r="F54" s="28">
        <f t="shared" ca="1" si="4"/>
        <v>-0.61772015441123607</v>
      </c>
    </row>
    <row r="55" spans="2:6" ht="18.600000000000001" thickBot="1" x14ac:dyDescent="0.5">
      <c r="B55" s="5">
        <v>44</v>
      </c>
      <c r="C55" s="2"/>
      <c r="D55" s="30"/>
      <c r="E55" s="5">
        <f t="shared" ca="1" si="3"/>
        <v>-0.10152831591472883</v>
      </c>
      <c r="F55" s="28">
        <f t="shared" ca="1" si="4"/>
        <v>-0.21101290246283791</v>
      </c>
    </row>
    <row r="56" spans="2:6" x14ac:dyDescent="0.45">
      <c r="B56" s="5">
        <v>45</v>
      </c>
      <c r="C56" s="26"/>
      <c r="D56" s="27"/>
      <c r="E56" s="5">
        <f t="shared" ca="1" si="3"/>
        <v>-5.3801951154324915E-2</v>
      </c>
      <c r="F56" s="28">
        <f t="shared" ca="1" si="4"/>
        <v>-0.31696609485355698</v>
      </c>
    </row>
    <row r="57" spans="2:6" x14ac:dyDescent="0.45">
      <c r="B57" s="5">
        <v>46</v>
      </c>
      <c r="C57" s="1"/>
      <c r="D57" s="28"/>
      <c r="E57" s="5">
        <f t="shared" ca="1" si="3"/>
        <v>-0.11567756781073174</v>
      </c>
      <c r="F57" s="28">
        <f t="shared" ca="1" si="4"/>
        <v>-0.88005634048851811</v>
      </c>
    </row>
    <row r="58" spans="2:6" x14ac:dyDescent="0.45">
      <c r="B58" s="5">
        <v>47</v>
      </c>
      <c r="C58" s="1"/>
      <c r="D58" s="28"/>
      <c r="E58" s="5">
        <f t="shared" ca="1" si="3"/>
        <v>-1.4495243924535337E-2</v>
      </c>
      <c r="F58" s="28">
        <f t="shared" ca="1" si="4"/>
        <v>-2.687487926775111E-2</v>
      </c>
    </row>
    <row r="59" spans="2:6" x14ac:dyDescent="0.45">
      <c r="B59" s="5">
        <v>48</v>
      </c>
      <c r="C59" s="1"/>
      <c r="D59" s="28"/>
      <c r="E59" s="5">
        <f t="shared" ca="1" si="3"/>
        <v>7.8862710522062424E-2</v>
      </c>
      <c r="F59" s="28">
        <f t="shared" ca="1" si="4"/>
        <v>-0.19618557586500174</v>
      </c>
    </row>
    <row r="60" spans="2:6" x14ac:dyDescent="0.45">
      <c r="B60" s="5">
        <v>49</v>
      </c>
      <c r="C60" s="1"/>
      <c r="D60" s="28"/>
      <c r="E60" s="5">
        <f t="shared" ca="1" si="3"/>
        <v>0.17831227708159428</v>
      </c>
      <c r="F60" s="28">
        <f t="shared" ca="1" si="4"/>
        <v>-0.55789704177231891</v>
      </c>
    </row>
    <row r="61" spans="2:6" x14ac:dyDescent="0.45">
      <c r="B61" s="5">
        <v>50</v>
      </c>
      <c r="C61" s="1"/>
      <c r="D61" s="28"/>
      <c r="E61" s="5">
        <f t="shared" ca="1" si="3"/>
        <v>4.5414291180405686E-2</v>
      </c>
      <c r="F61" s="28">
        <f t="shared" ca="1" si="4"/>
        <v>-0.29604147312524953</v>
      </c>
    </row>
    <row r="62" spans="2:6" x14ac:dyDescent="0.45">
      <c r="B62" s="5">
        <v>51</v>
      </c>
      <c r="C62" s="1"/>
      <c r="D62" s="28"/>
      <c r="E62" s="5">
        <f t="shared" ca="1" si="3"/>
        <v>-0.41685115879593143</v>
      </c>
      <c r="F62" s="28">
        <f t="shared" ca="1" si="4"/>
        <v>-0.78841963770072387</v>
      </c>
    </row>
    <row r="63" spans="2:6" x14ac:dyDescent="0.45">
      <c r="B63" s="5">
        <v>52</v>
      </c>
      <c r="C63" s="1"/>
      <c r="D63" s="28"/>
      <c r="E63" s="5">
        <f t="shared" ca="1" si="3"/>
        <v>0.3325344000594519</v>
      </c>
      <c r="F63" s="28">
        <f t="shared" ca="1" si="4"/>
        <v>-0.8205675479033272</v>
      </c>
    </row>
    <row r="64" spans="2:6" x14ac:dyDescent="0.45">
      <c r="B64" s="5">
        <v>53</v>
      </c>
      <c r="C64" s="1"/>
      <c r="D64" s="28"/>
      <c r="E64" s="5">
        <f t="shared" ca="1" si="3"/>
        <v>0.23060620964671624</v>
      </c>
      <c r="F64" s="28">
        <f t="shared" ca="1" si="4"/>
        <v>-0.94121009539261458</v>
      </c>
    </row>
    <row r="65" spans="2:6" x14ac:dyDescent="0.45">
      <c r="B65" s="5">
        <v>54</v>
      </c>
      <c r="C65" s="1"/>
      <c r="D65" s="28"/>
      <c r="E65" s="5">
        <f t="shared" ca="1" si="3"/>
        <v>0.33445316456765928</v>
      </c>
      <c r="F65" s="28">
        <f t="shared" ca="1" si="4"/>
        <v>-0.65615043503909098</v>
      </c>
    </row>
    <row r="66" spans="2:6" ht="18.600000000000001" thickBot="1" x14ac:dyDescent="0.5">
      <c r="B66" s="5">
        <v>55</v>
      </c>
      <c r="C66" s="2"/>
      <c r="D66" s="30"/>
      <c r="E66" s="5">
        <f t="shared" ca="1" si="3"/>
        <v>0.13197837610174112</v>
      </c>
      <c r="F66" s="28">
        <f t="shared" ca="1" si="4"/>
        <v>-0.19343255201702605</v>
      </c>
    </row>
    <row r="67" spans="2:6" x14ac:dyDescent="0.45">
      <c r="B67" s="5">
        <v>56</v>
      </c>
      <c r="C67" s="9"/>
      <c r="D67" s="9"/>
      <c r="E67" s="5">
        <f t="shared" ca="1" si="3"/>
        <v>0.24759971470436587</v>
      </c>
      <c r="F67" s="28">
        <f t="shared" ca="1" si="4"/>
        <v>-0.20507690389959338</v>
      </c>
    </row>
    <row r="68" spans="2:6" x14ac:dyDescent="0.45">
      <c r="B68" s="5">
        <v>57</v>
      </c>
      <c r="C68" s="9"/>
      <c r="D68" s="9"/>
      <c r="E68" s="5">
        <f t="shared" ca="1" si="3"/>
        <v>0.70431236371925843</v>
      </c>
      <c r="F68" s="28">
        <f t="shared" ca="1" si="4"/>
        <v>-0.54020788261634989</v>
      </c>
    </row>
    <row r="69" spans="2:6" x14ac:dyDescent="0.45">
      <c r="B69" s="5">
        <v>58</v>
      </c>
      <c r="C69" s="9"/>
      <c r="D69" s="9"/>
      <c r="E69" s="5">
        <f t="shared" ca="1" si="3"/>
        <v>1.6026706207244522E-2</v>
      </c>
      <c r="F69" s="28">
        <f t="shared" ca="1" si="4"/>
        <v>-2.5990689106575204E-2</v>
      </c>
    </row>
    <row r="70" spans="2:6" x14ac:dyDescent="0.45">
      <c r="B70" s="5">
        <v>59</v>
      </c>
      <c r="C70" s="9"/>
      <c r="D70" s="9"/>
      <c r="E70" s="5">
        <f t="shared" ca="1" si="3"/>
        <v>0.20933304781620196</v>
      </c>
      <c r="F70" s="28">
        <f t="shared" ca="1" si="4"/>
        <v>-2.9795677209096497E-2</v>
      </c>
    </row>
    <row r="71" spans="2:6" x14ac:dyDescent="0.45">
      <c r="B71" s="5">
        <v>60</v>
      </c>
      <c r="C71" s="9"/>
      <c r="D71" s="9"/>
      <c r="E71" s="5">
        <f t="shared" ca="1" si="3"/>
        <v>0.57230914941181343</v>
      </c>
      <c r="F71" s="28">
        <f t="shared" ca="1" si="4"/>
        <v>-0.12452555912684912</v>
      </c>
    </row>
    <row r="72" spans="2:6" x14ac:dyDescent="0.45">
      <c r="B72" s="5">
        <v>61</v>
      </c>
      <c r="C72" s="9"/>
      <c r="D72" s="9"/>
      <c r="E72" s="5">
        <f t="shared" ca="1" si="3"/>
        <v>0.27908658189043711</v>
      </c>
      <c r="F72" s="28">
        <f t="shared" ca="1" si="4"/>
        <v>-0.10869080670552989</v>
      </c>
    </row>
    <row r="73" spans="2:6" x14ac:dyDescent="0.45">
      <c r="B73" s="5">
        <v>62</v>
      </c>
      <c r="C73" s="9"/>
      <c r="D73" s="9"/>
      <c r="E73" s="5">
        <f t="shared" ca="1" si="3"/>
        <v>0.47436585569338441</v>
      </c>
      <c r="F73" s="28">
        <f t="shared" ca="1" si="4"/>
        <v>-0.75521351196461972</v>
      </c>
    </row>
    <row r="74" spans="2:6" x14ac:dyDescent="0.45">
      <c r="B74" s="5">
        <v>63</v>
      </c>
      <c r="C74" s="9"/>
      <c r="D74" s="9"/>
      <c r="E74" s="5">
        <f t="shared" ca="1" si="3"/>
        <v>0.87689954203511156</v>
      </c>
      <c r="F74" s="28">
        <f t="shared" ca="1" si="4"/>
        <v>-0.12230053586796086</v>
      </c>
    </row>
    <row r="75" spans="2:6" x14ac:dyDescent="0.45">
      <c r="B75" s="5">
        <v>64</v>
      </c>
      <c r="C75" s="9"/>
      <c r="D75" s="9"/>
      <c r="E75" s="5">
        <f t="shared" ca="1" si="3"/>
        <v>0.9304149577317371</v>
      </c>
      <c r="F75" s="28">
        <f t="shared" ca="1" si="4"/>
        <v>-0.27089421187181106</v>
      </c>
    </row>
    <row r="76" spans="2:6" x14ac:dyDescent="0.45">
      <c r="B76" s="5">
        <v>65</v>
      </c>
      <c r="C76" s="9"/>
      <c r="D76" s="9"/>
      <c r="E76" s="5">
        <f t="shared" ca="1" si="3"/>
        <v>0.73546952773189356</v>
      </c>
      <c r="F76" s="28">
        <f t="shared" ca="1" si="4"/>
        <v>-3.843028062785514E-2</v>
      </c>
    </row>
    <row r="77" spans="2:6" ht="18.600000000000001" thickBot="1" x14ac:dyDescent="0.5">
      <c r="B77" s="6">
        <v>66</v>
      </c>
      <c r="C77" s="29"/>
      <c r="D77" s="29"/>
      <c r="E77" s="5">
        <f t="shared" ca="1" si="3"/>
        <v>0.23350669201647001</v>
      </c>
      <c r="F77" s="28">
        <f t="shared" ca="1" si="4"/>
        <v>1.7580350445811799E-2</v>
      </c>
    </row>
    <row r="78" spans="2:6" x14ac:dyDescent="0.45">
      <c r="E78" s="5">
        <v>1</v>
      </c>
      <c r="F78" s="28">
        <v>1</v>
      </c>
    </row>
    <row r="79" spans="2:6" x14ac:dyDescent="0.45">
      <c r="E79" s="5">
        <v>-1</v>
      </c>
      <c r="F79" s="28">
        <v>1</v>
      </c>
    </row>
    <row r="80" spans="2:6" x14ac:dyDescent="0.45">
      <c r="E80" s="5">
        <v>-1</v>
      </c>
      <c r="F80" s="28">
        <v>-1</v>
      </c>
    </row>
    <row r="81" spans="5:6" ht="18.600000000000001" thickBot="1" x14ac:dyDescent="0.5">
      <c r="E81" s="6">
        <v>1</v>
      </c>
      <c r="F81" s="30">
        <v>-1</v>
      </c>
    </row>
  </sheetData>
  <phoneticPr fontId="1"/>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E2EFB-AD68-495E-8AAA-9770145B1D29}">
  <dimension ref="B5:M42"/>
  <sheetViews>
    <sheetView zoomScaleNormal="100" workbookViewId="0">
      <selection activeCell="B9" sqref="B9"/>
    </sheetView>
  </sheetViews>
  <sheetFormatPr defaultRowHeight="18" x14ac:dyDescent="0.45"/>
  <sheetData>
    <row r="5" spans="2:13" ht="18" customHeight="1" x14ac:dyDescent="0.45"/>
    <row r="8" spans="2:13" ht="18.600000000000001" thickBot="1" x14ac:dyDescent="0.5"/>
    <row r="9" spans="2:13" ht="18.600000000000001" thickBot="1" x14ac:dyDescent="0.5">
      <c r="B9" s="8" t="s">
        <v>0</v>
      </c>
      <c r="C9" s="42" t="s">
        <v>1</v>
      </c>
      <c r="E9" s="8" t="s">
        <v>0</v>
      </c>
      <c r="F9" s="42" t="s">
        <v>1</v>
      </c>
      <c r="I9" s="8" t="s">
        <v>10</v>
      </c>
      <c r="J9" s="13">
        <f ca="1">RAND()-0.5</f>
        <v>0.16554239651505986</v>
      </c>
      <c r="K9" s="13">
        <f ca="1">RAND()-0.5</f>
        <v>0.36658731220033525</v>
      </c>
      <c r="L9" s="41">
        <f ca="1">RAND()-0.5</f>
        <v>0.44183441909711429</v>
      </c>
      <c r="M9" s="3">
        <f ca="1">RAND()-0.5</f>
        <v>-6.0614816359376378E-2</v>
      </c>
    </row>
    <row r="10" spans="2:13" ht="18.600000000000001" thickBot="1" x14ac:dyDescent="0.5">
      <c r="B10" s="40">
        <v>0.5</v>
      </c>
      <c r="C10" s="27">
        <v>-0.5</v>
      </c>
      <c r="E10" s="5">
        <f>-C10</f>
        <v>0.5</v>
      </c>
      <c r="F10" s="28">
        <f>-B10</f>
        <v>-0.5</v>
      </c>
      <c r="I10" s="8" t="s">
        <v>11</v>
      </c>
      <c r="J10" s="13">
        <f ca="1">RAND()-0.5</f>
        <v>0.46873093057795012</v>
      </c>
      <c r="K10" s="13">
        <f ca="1">RAND()-0.5</f>
        <v>-0.22220421081952102</v>
      </c>
      <c r="L10" s="13">
        <f ca="1">RAND()-0.5</f>
        <v>-0.22125821832918047</v>
      </c>
      <c r="M10" s="3">
        <f ca="1">RAND()-0.5</f>
        <v>0.2649613370914049</v>
      </c>
    </row>
    <row r="11" spans="2:13" x14ac:dyDescent="0.45">
      <c r="B11" s="5">
        <f ca="1">0.5+J9</f>
        <v>0.66554239651505986</v>
      </c>
      <c r="C11" s="28">
        <v>-0.3</v>
      </c>
      <c r="E11" s="5">
        <f>-C11</f>
        <v>0.3</v>
      </c>
      <c r="F11" s="28">
        <f ca="1">-B11</f>
        <v>-0.66554239651505986</v>
      </c>
    </row>
    <row r="12" spans="2:13" x14ac:dyDescent="0.45">
      <c r="B12" s="5">
        <f ca="1">0.5+K9</f>
        <v>0.86658731220033525</v>
      </c>
      <c r="C12" s="28">
        <v>-9.9999999999999978E-2</v>
      </c>
      <c r="E12" s="5">
        <f>-C12</f>
        <v>9.9999999999999978E-2</v>
      </c>
      <c r="F12" s="28">
        <f ca="1">-B12</f>
        <v>-0.86658731220033525</v>
      </c>
    </row>
    <row r="13" spans="2:13" x14ac:dyDescent="0.45">
      <c r="B13" s="5">
        <f ca="1">0.5+L9</f>
        <v>0.94183441909711429</v>
      </c>
      <c r="C13" s="28">
        <v>0.10000000000000003</v>
      </c>
      <c r="E13" s="5">
        <f>-C13</f>
        <v>-0.10000000000000003</v>
      </c>
      <c r="F13" s="28">
        <f ca="1">-B13</f>
        <v>-0.94183441909711429</v>
      </c>
    </row>
    <row r="14" spans="2:13" x14ac:dyDescent="0.45">
      <c r="B14" s="5">
        <f ca="1">0.5+M9</f>
        <v>0.43938518364062362</v>
      </c>
      <c r="C14" s="28">
        <v>0.30000000000000004</v>
      </c>
      <c r="E14" s="5">
        <f>-C14</f>
        <v>-0.30000000000000004</v>
      </c>
      <c r="F14" s="28">
        <f ca="1">-B14</f>
        <v>-0.43938518364062362</v>
      </c>
    </row>
    <row r="15" spans="2:13" x14ac:dyDescent="0.45">
      <c r="B15" s="5">
        <v>0.5</v>
      </c>
      <c r="C15" s="28">
        <v>0.5</v>
      </c>
      <c r="E15" s="5">
        <f>-C15</f>
        <v>-0.5</v>
      </c>
      <c r="F15" s="28">
        <f>-B15</f>
        <v>-0.5</v>
      </c>
    </row>
    <row r="16" spans="2:13" x14ac:dyDescent="0.45">
      <c r="B16" s="5">
        <v>0.3</v>
      </c>
      <c r="C16" s="28">
        <f ca="1">0.5-J9</f>
        <v>0.33445760348494014</v>
      </c>
      <c r="E16" s="5">
        <f ca="1">-C16</f>
        <v>-0.33445760348494014</v>
      </c>
      <c r="F16" s="28">
        <f>-B16</f>
        <v>-0.3</v>
      </c>
    </row>
    <row r="17" spans="2:6" x14ac:dyDescent="0.45">
      <c r="B17" s="5">
        <v>9.9999999999999978E-2</v>
      </c>
      <c r="C17" s="28">
        <f ca="1">0.5-K9</f>
        <v>0.13341268779966475</v>
      </c>
      <c r="E17" s="5">
        <f ca="1">-C17</f>
        <v>-0.13341268779966475</v>
      </c>
      <c r="F17" s="28">
        <f>-B17</f>
        <v>-9.9999999999999978E-2</v>
      </c>
    </row>
    <row r="18" spans="2:6" x14ac:dyDescent="0.45">
      <c r="B18" s="5">
        <v>-0.10000000000000003</v>
      </c>
      <c r="C18" s="28">
        <f ca="1">0.5-L9</f>
        <v>5.8165580902885705E-2</v>
      </c>
      <c r="E18" s="5">
        <f ca="1">-C18</f>
        <v>-5.8165580902885705E-2</v>
      </c>
      <c r="F18" s="28">
        <f>-B18</f>
        <v>0.10000000000000003</v>
      </c>
    </row>
    <row r="19" spans="2:6" x14ac:dyDescent="0.45">
      <c r="B19" s="5">
        <v>-0.30000000000000004</v>
      </c>
      <c r="C19" s="28">
        <f ca="1">0.5-M9</f>
        <v>0.56061481635937638</v>
      </c>
      <c r="E19" s="5">
        <f ca="1">-C19</f>
        <v>-0.56061481635937638</v>
      </c>
      <c r="F19" s="28">
        <f>-B19</f>
        <v>0.30000000000000004</v>
      </c>
    </row>
    <row r="20" spans="2:6" x14ac:dyDescent="0.45">
      <c r="B20" s="5">
        <v>-0.5</v>
      </c>
      <c r="C20" s="28">
        <v>0.5</v>
      </c>
      <c r="E20" s="5">
        <f>-C20</f>
        <v>-0.5</v>
      </c>
      <c r="F20" s="28">
        <f>-B20</f>
        <v>0.5</v>
      </c>
    </row>
    <row r="21" spans="2:6" x14ac:dyDescent="0.45">
      <c r="B21" s="5">
        <f ca="1">-0.5+J10</f>
        <v>-3.1269069422049878E-2</v>
      </c>
      <c r="C21" s="28">
        <v>0.3</v>
      </c>
      <c r="E21" s="5">
        <f>-C21</f>
        <v>-0.3</v>
      </c>
      <c r="F21" s="28">
        <f ca="1">-B21</f>
        <v>3.1269069422049878E-2</v>
      </c>
    </row>
    <row r="22" spans="2:6" x14ac:dyDescent="0.45">
      <c r="B22" s="5">
        <f ca="1">-0.5+K10</f>
        <v>-0.72220421081952102</v>
      </c>
      <c r="C22" s="28">
        <v>9.9999999999999978E-2</v>
      </c>
      <c r="E22" s="5">
        <f>-C22</f>
        <v>-9.9999999999999978E-2</v>
      </c>
      <c r="F22" s="28">
        <f ca="1">-B22</f>
        <v>0.72220421081952102</v>
      </c>
    </row>
    <row r="23" spans="2:6" x14ac:dyDescent="0.45">
      <c r="B23" s="5">
        <f ca="1">-0.5+L10</f>
        <v>-0.72125821832918047</v>
      </c>
      <c r="C23" s="28">
        <v>-0.10000000000000003</v>
      </c>
      <c r="E23" s="5">
        <f>-C23</f>
        <v>0.10000000000000003</v>
      </c>
      <c r="F23" s="28">
        <f ca="1">-B23</f>
        <v>0.72125821832918047</v>
      </c>
    </row>
    <row r="24" spans="2:6" x14ac:dyDescent="0.45">
      <c r="B24" s="5">
        <f ca="1">-0.5+M10</f>
        <v>-0.2350386629085951</v>
      </c>
      <c r="C24" s="28">
        <v>-0.30000000000000004</v>
      </c>
      <c r="E24" s="5">
        <f>-C24</f>
        <v>0.30000000000000004</v>
      </c>
      <c r="F24" s="28">
        <f ca="1">-B24</f>
        <v>0.2350386629085951</v>
      </c>
    </row>
    <row r="25" spans="2:6" x14ac:dyDescent="0.45">
      <c r="B25" s="5">
        <v>-0.5</v>
      </c>
      <c r="C25" s="28">
        <v>-0.5</v>
      </c>
      <c r="E25" s="5">
        <f>-C25</f>
        <v>0.5</v>
      </c>
      <c r="F25" s="28">
        <f>-B25</f>
        <v>0.5</v>
      </c>
    </row>
    <row r="26" spans="2:6" x14ac:dyDescent="0.45">
      <c r="B26" s="5">
        <v>-0.3</v>
      </c>
      <c r="C26" s="28">
        <f ca="1">-0.5-J10</f>
        <v>-0.96873093057795012</v>
      </c>
      <c r="E26" s="5">
        <f ca="1">-C26</f>
        <v>0.96873093057795012</v>
      </c>
      <c r="F26" s="28">
        <f>-B26</f>
        <v>0.3</v>
      </c>
    </row>
    <row r="27" spans="2:6" x14ac:dyDescent="0.45">
      <c r="B27" s="5">
        <v>-9.9999999999999978E-2</v>
      </c>
      <c r="C27" s="28">
        <f ca="1">-0.5-K10</f>
        <v>-0.27779578918047898</v>
      </c>
      <c r="E27" s="5">
        <f ca="1">-C27</f>
        <v>0.27779578918047898</v>
      </c>
      <c r="F27" s="28">
        <f>-B27</f>
        <v>9.9999999999999978E-2</v>
      </c>
    </row>
    <row r="28" spans="2:6" x14ac:dyDescent="0.45">
      <c r="B28" s="5">
        <v>0.10000000000000003</v>
      </c>
      <c r="C28" s="28">
        <f ca="1">-0.5-L10</f>
        <v>-0.27874178167081953</v>
      </c>
      <c r="E28" s="5">
        <f ca="1">-C28</f>
        <v>0.27874178167081953</v>
      </c>
      <c r="F28" s="28">
        <f>-B28</f>
        <v>-0.10000000000000003</v>
      </c>
    </row>
    <row r="29" spans="2:6" x14ac:dyDescent="0.45">
      <c r="B29" s="5">
        <v>0.30000000000000004</v>
      </c>
      <c r="C29" s="28">
        <f ca="1">-0.5-M10</f>
        <v>-0.7649613370914049</v>
      </c>
      <c r="E29" s="5">
        <f ca="1">-C29</f>
        <v>0.7649613370914049</v>
      </c>
      <c r="F29" s="28">
        <f>-B29</f>
        <v>-0.30000000000000004</v>
      </c>
    </row>
    <row r="30" spans="2:6" ht="18.600000000000001" thickBot="1" x14ac:dyDescent="0.5">
      <c r="B30" s="6">
        <v>0.5</v>
      </c>
      <c r="C30" s="30">
        <v>-0.5</v>
      </c>
      <c r="E30" s="5">
        <f>-C30</f>
        <v>0.5</v>
      </c>
      <c r="F30" s="28">
        <f>-B30</f>
        <v>-0.5</v>
      </c>
    </row>
    <row r="31" spans="2:6" x14ac:dyDescent="0.45">
      <c r="B31" s="20">
        <v>1</v>
      </c>
      <c r="C31" s="15">
        <v>-1</v>
      </c>
      <c r="E31" s="20">
        <f>-C31</f>
        <v>1</v>
      </c>
      <c r="F31" s="15">
        <f>-B31</f>
        <v>-1</v>
      </c>
    </row>
    <row r="32" spans="2:6" x14ac:dyDescent="0.45">
      <c r="B32" s="21">
        <f>B31</f>
        <v>1</v>
      </c>
      <c r="C32" s="17">
        <f>-C31</f>
        <v>1</v>
      </c>
      <c r="E32" s="21">
        <f>-C32</f>
        <v>-1</v>
      </c>
      <c r="F32" s="17">
        <f>-B32</f>
        <v>-1</v>
      </c>
    </row>
    <row r="33" spans="2:6" x14ac:dyDescent="0.45">
      <c r="B33" s="21">
        <f>-B32</f>
        <v>-1</v>
      </c>
      <c r="C33" s="17">
        <f>C32</f>
        <v>1</v>
      </c>
      <c r="E33" s="21">
        <f>-C33</f>
        <v>-1</v>
      </c>
      <c r="F33" s="17">
        <f>-B33</f>
        <v>1</v>
      </c>
    </row>
    <row r="34" spans="2:6" ht="18.600000000000001" thickBot="1" x14ac:dyDescent="0.5">
      <c r="B34" s="22">
        <f>B33</f>
        <v>-1</v>
      </c>
      <c r="C34" s="19">
        <f>-C33</f>
        <v>-1</v>
      </c>
      <c r="E34" s="22">
        <f>-C34</f>
        <v>1</v>
      </c>
      <c r="F34" s="19">
        <f>-B34</f>
        <v>1</v>
      </c>
    </row>
    <row r="36" spans="2:6" x14ac:dyDescent="0.45">
      <c r="E36" s="43"/>
      <c r="F36" s="43"/>
    </row>
    <row r="37" spans="2:6" x14ac:dyDescent="0.45">
      <c r="E37" s="43"/>
      <c r="F37" s="43"/>
    </row>
    <row r="38" spans="2:6" x14ac:dyDescent="0.45">
      <c r="E38" s="43"/>
      <c r="F38" s="43"/>
    </row>
    <row r="39" spans="2:6" x14ac:dyDescent="0.45">
      <c r="E39" s="43"/>
      <c r="F39" s="43"/>
    </row>
    <row r="40" spans="2:6" x14ac:dyDescent="0.45">
      <c r="E40" s="43"/>
      <c r="F40" s="43"/>
    </row>
    <row r="41" spans="2:6" x14ac:dyDescent="0.45">
      <c r="E41" s="43"/>
      <c r="F41" s="43"/>
    </row>
    <row r="42" spans="2:6" x14ac:dyDescent="0.45">
      <c r="E42" s="43"/>
      <c r="F42" s="43"/>
    </row>
  </sheetData>
  <phoneticPr fontId="1"/>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2ACCB-5C7D-4C7D-8D0A-6C28C83A7E06}">
  <dimension ref="B6:H472"/>
  <sheetViews>
    <sheetView zoomScaleNormal="100" workbookViewId="0">
      <selection activeCell="B7" sqref="B7"/>
    </sheetView>
  </sheetViews>
  <sheetFormatPr defaultRowHeight="18" x14ac:dyDescent="0.45"/>
  <sheetData>
    <row r="6" spans="2:8" ht="18.600000000000001" thickBot="1" x14ac:dyDescent="0.5"/>
    <row r="7" spans="2:8" ht="18.600000000000001" thickBot="1" x14ac:dyDescent="0.5">
      <c r="B7" s="31" t="s">
        <v>4</v>
      </c>
      <c r="C7" s="32" t="s">
        <v>5</v>
      </c>
      <c r="D7" s="32" t="s">
        <v>6</v>
      </c>
      <c r="E7" s="33" t="s">
        <v>0</v>
      </c>
      <c r="F7" s="31" t="s">
        <v>1</v>
      </c>
      <c r="G7" s="26">
        <f>COS(2*PI()/6)</f>
        <v>0.50000000000000011</v>
      </c>
      <c r="H7" s="27">
        <f>-SIN(2*PI()/6)</f>
        <v>-0.8660254037844386</v>
      </c>
    </row>
    <row r="8" spans="2:8" ht="18.600000000000001" thickBot="1" x14ac:dyDescent="0.5">
      <c r="B8" s="5">
        <v>0</v>
      </c>
      <c r="C8" s="9">
        <f t="shared" ref="C8:C18" ca="1" si="0">$H$9*(RAND()-1)</f>
        <v>-0.57152482888215062</v>
      </c>
      <c r="D8" s="9">
        <f t="shared" ref="D8:D18" ca="1" si="1">$H$10*(RAND()-1)</f>
        <v>-0.64036139069669762</v>
      </c>
      <c r="E8" s="1">
        <f ca="1">C8*COS(2*PI()*D8/6)</f>
        <v>-0.44776588765523484</v>
      </c>
      <c r="F8" s="5">
        <f ca="1">C8*SIN(2*PI()*D8/6)</f>
        <v>0.35517086012381588</v>
      </c>
      <c r="G8" s="2">
        <f>SIN(2*PI()/6)</f>
        <v>0.8660254037844386</v>
      </c>
      <c r="H8" s="30">
        <f>COS(2*PI()/6)</f>
        <v>0.50000000000000011</v>
      </c>
    </row>
    <row r="9" spans="2:8" ht="18.600000000000001" thickBot="1" x14ac:dyDescent="0.5">
      <c r="B9" s="5">
        <v>1</v>
      </c>
      <c r="C9" s="9">
        <f t="shared" ca="1" si="0"/>
        <v>-1.3269598533469535</v>
      </c>
      <c r="D9" s="9">
        <f t="shared" ca="1" si="1"/>
        <v>-3.7935653885745877</v>
      </c>
      <c r="E9" s="1">
        <f t="shared" ref="E9:E18" ca="1" si="2">C9*COS(2*PI()*D9/6)</f>
        <v>0.8945340475530662</v>
      </c>
      <c r="F9" s="5">
        <f t="shared" ref="F9:F18" ca="1" si="3">C9*SIN(2*PI()*D9/6)</f>
        <v>-0.98011799808130107</v>
      </c>
      <c r="G9" s="31" t="s">
        <v>4</v>
      </c>
      <c r="H9" s="38">
        <v>2</v>
      </c>
    </row>
    <row r="10" spans="2:8" ht="18.600000000000001" thickBot="1" x14ac:dyDescent="0.5">
      <c r="B10" s="5">
        <v>2</v>
      </c>
      <c r="C10" s="9">
        <f t="shared" ca="1" si="0"/>
        <v>-0.25668250770993528</v>
      </c>
      <c r="D10" s="9">
        <f t="shared" ca="1" si="1"/>
        <v>-1.8776391793003937</v>
      </c>
      <c r="E10" s="1">
        <f t="shared" ca="1" si="2"/>
        <v>9.8883171167489306E-2</v>
      </c>
      <c r="F10" s="5">
        <f t="shared" ca="1" si="3"/>
        <v>0.23687133263466476</v>
      </c>
      <c r="G10" s="39" t="s">
        <v>7</v>
      </c>
      <c r="H10" s="37">
        <v>6</v>
      </c>
    </row>
    <row r="11" spans="2:8" x14ac:dyDescent="0.45">
      <c r="B11" s="5">
        <v>3</v>
      </c>
      <c r="C11" s="9">
        <f t="shared" ca="1" si="0"/>
        <v>-0.92955429643528875</v>
      </c>
      <c r="D11" s="9">
        <f t="shared" ca="1" si="1"/>
        <v>-1.1573285386866943</v>
      </c>
      <c r="E11" s="1">
        <f t="shared" ca="1" si="2"/>
        <v>-0.32645274916838729</v>
      </c>
      <c r="F11" s="5">
        <f t="shared" ca="1" si="3"/>
        <v>0.87034464011775625</v>
      </c>
    </row>
    <row r="12" spans="2:8" x14ac:dyDescent="0.45">
      <c r="B12" s="5">
        <v>4</v>
      </c>
      <c r="C12" s="9">
        <f t="shared" ca="1" si="0"/>
        <v>-1.0689459967940937</v>
      </c>
      <c r="D12" s="9">
        <f t="shared" ca="1" si="1"/>
        <v>-4.7534502389291626</v>
      </c>
      <c r="E12" s="1">
        <f t="shared" ca="1" si="2"/>
        <v>-0.28039235658114731</v>
      </c>
      <c r="F12" s="5">
        <f t="shared" ca="1" si="3"/>
        <v>-1.0315161997918354</v>
      </c>
    </row>
    <row r="13" spans="2:8" x14ac:dyDescent="0.45">
      <c r="B13" s="5">
        <v>5</v>
      </c>
      <c r="C13" s="9">
        <f t="shared" ca="1" si="0"/>
        <v>-0.78609856946529777</v>
      </c>
      <c r="D13" s="9">
        <f t="shared" ca="1" si="1"/>
        <v>-4.244751394885963</v>
      </c>
      <c r="E13" s="1">
        <f t="shared" ca="1" si="2"/>
        <v>0.2076276185299919</v>
      </c>
      <c r="F13" s="5">
        <f t="shared" ca="1" si="3"/>
        <v>-0.758183179013457</v>
      </c>
    </row>
    <row r="14" spans="2:8" x14ac:dyDescent="0.45">
      <c r="B14" s="5">
        <v>6</v>
      </c>
      <c r="C14" s="9">
        <f t="shared" ca="1" si="0"/>
        <v>-8.5867020598670241E-2</v>
      </c>
      <c r="D14" s="9">
        <f t="shared" ca="1" si="1"/>
        <v>-5.6747128468239962</v>
      </c>
      <c r="E14" s="1">
        <f t="shared" ca="1" si="2"/>
        <v>-8.0933193534195147E-2</v>
      </c>
      <c r="F14" s="5">
        <f t="shared" ca="1" si="3"/>
        <v>-2.8687338859660242E-2</v>
      </c>
    </row>
    <row r="15" spans="2:8" x14ac:dyDescent="0.45">
      <c r="B15" s="5">
        <v>7</v>
      </c>
      <c r="C15" s="9">
        <f t="shared" ca="1" si="0"/>
        <v>-1.5736170942966354</v>
      </c>
      <c r="D15" s="9">
        <f t="shared" ca="1" si="1"/>
        <v>-2.5481328369685423</v>
      </c>
      <c r="E15" s="1">
        <f t="shared" ca="1" si="2"/>
        <v>1.4007035460132096</v>
      </c>
      <c r="F15" s="5">
        <f t="shared" ca="1" si="3"/>
        <v>0.71714735978640143</v>
      </c>
    </row>
    <row r="16" spans="2:8" x14ac:dyDescent="0.45">
      <c r="B16" s="5">
        <v>8</v>
      </c>
      <c r="C16" s="9">
        <f t="shared" ca="1" si="0"/>
        <v>-1.5607632834083549</v>
      </c>
      <c r="D16" s="9">
        <f t="shared" ca="1" si="1"/>
        <v>-2.2572618935195568</v>
      </c>
      <c r="E16" s="1">
        <f t="shared" ca="1" si="2"/>
        <v>1.1119869866823786</v>
      </c>
      <c r="F16" s="5">
        <f t="shared" ca="1" si="3"/>
        <v>1.0952017934082616</v>
      </c>
    </row>
    <row r="17" spans="2:6" x14ac:dyDescent="0.45">
      <c r="B17" s="5">
        <v>9</v>
      </c>
      <c r="C17" s="9">
        <f t="shared" ca="1" si="0"/>
        <v>-1.5215679329933258</v>
      </c>
      <c r="D17" s="9">
        <f t="shared" ca="1" si="1"/>
        <v>-2.5906488276444799</v>
      </c>
      <c r="E17" s="1">
        <f t="shared" ca="1" si="2"/>
        <v>1.383894551421825</v>
      </c>
      <c r="F17" s="5">
        <f t="shared" ca="1" si="3"/>
        <v>0.63245936253530755</v>
      </c>
    </row>
    <row r="18" spans="2:6" ht="18.600000000000001" thickBot="1" x14ac:dyDescent="0.5">
      <c r="B18" s="5">
        <v>10</v>
      </c>
      <c r="C18" s="29">
        <f t="shared" ca="1" si="0"/>
        <v>-1.3719841718577606</v>
      </c>
      <c r="D18" s="29">
        <f t="shared" ca="1" si="1"/>
        <v>-0.37499749498112167</v>
      </c>
      <c r="E18" s="2">
        <f t="shared" ca="1" si="2"/>
        <v>-1.2675494726039491</v>
      </c>
      <c r="F18" s="6">
        <f t="shared" ca="1" si="3"/>
        <v>0.52503228694021797</v>
      </c>
    </row>
    <row r="19" spans="2:6" x14ac:dyDescent="0.45">
      <c r="B19" s="5">
        <v>11</v>
      </c>
      <c r="C19" s="9"/>
      <c r="D19" s="9"/>
      <c r="E19" s="1">
        <f t="shared" ref="E19:E50" ca="1" si="4">E8*$G$7+F8*$H$7</f>
        <v>-0.53146993137881149</v>
      </c>
      <c r="F19" s="5">
        <f t="shared" ref="F19:F50" ca="1" si="5">E8*$G$8+F8*$H$8</f>
        <v>-0.21019120359561433</v>
      </c>
    </row>
    <row r="20" spans="2:6" x14ac:dyDescent="0.45">
      <c r="B20" s="5">
        <v>12</v>
      </c>
      <c r="C20" s="9"/>
      <c r="D20" s="9"/>
      <c r="E20" s="1">
        <f t="shared" ca="1" si="4"/>
        <v>1.2960741088212875</v>
      </c>
      <c r="F20" s="5">
        <f t="shared" ca="1" si="5"/>
        <v>0.28463021069042171</v>
      </c>
    </row>
    <row r="21" spans="2:6" x14ac:dyDescent="0.45">
      <c r="B21" s="5">
        <v>13</v>
      </c>
      <c r="C21" s="9"/>
      <c r="D21" s="9"/>
      <c r="E21" s="1">
        <f t="shared" ca="1" si="4"/>
        <v>-0.15569500590614893</v>
      </c>
      <c r="F21" s="5">
        <f t="shared" ca="1" si="5"/>
        <v>0.2040710045551431</v>
      </c>
    </row>
    <row r="22" spans="2:6" x14ac:dyDescent="0.45">
      <c r="B22" s="5">
        <v>14</v>
      </c>
      <c r="C22" s="9"/>
      <c r="D22" s="9"/>
      <c r="E22" s="1">
        <f t="shared" ca="1" si="4"/>
        <v>-0.91696694297379544</v>
      </c>
      <c r="F22" s="5">
        <f t="shared" ca="1" si="5"/>
        <v>0.1524559461437856</v>
      </c>
    </row>
    <row r="23" spans="2:6" x14ac:dyDescent="0.45">
      <c r="B23" s="5">
        <v>15</v>
      </c>
      <c r="C23" s="9"/>
      <c r="D23" s="9"/>
      <c r="E23" s="1">
        <f t="shared" ca="1" si="4"/>
        <v>0.75312305514434019</v>
      </c>
      <c r="F23" s="5">
        <f t="shared" ca="1" si="5"/>
        <v>-0.75858500372217619</v>
      </c>
    </row>
    <row r="24" spans="2:6" x14ac:dyDescent="0.45">
      <c r="B24" s="5">
        <v>16</v>
      </c>
      <c r="C24" s="9"/>
      <c r="D24" s="9"/>
      <c r="E24" s="1">
        <f t="shared" ca="1" si="4"/>
        <v>0.76041970301269435</v>
      </c>
      <c r="F24" s="5">
        <f t="shared" ca="1" si="5"/>
        <v>-0.19928079733249099</v>
      </c>
    </row>
    <row r="25" spans="2:6" x14ac:dyDescent="0.45">
      <c r="B25" s="5">
        <v>17</v>
      </c>
      <c r="C25" s="9"/>
      <c r="D25" s="9"/>
      <c r="E25" s="1">
        <f t="shared" ca="1" si="4"/>
        <v>-1.5622632547659304E-2</v>
      </c>
      <c r="F25" s="5">
        <f t="shared" ca="1" si="5"/>
        <v>-8.4433871039845593E-2</v>
      </c>
    </row>
    <row r="26" spans="2:6" x14ac:dyDescent="0.45">
      <c r="B26" s="5">
        <v>18</v>
      </c>
      <c r="C26" s="9"/>
      <c r="D26" s="9"/>
      <c r="E26" s="1">
        <f t="shared" ca="1" si="4"/>
        <v>7.9283941174642547E-2</v>
      </c>
      <c r="F26" s="5">
        <f t="shared" ca="1" si="5"/>
        <v>1.5716185339115856</v>
      </c>
    </row>
    <row r="27" spans="2:6" x14ac:dyDescent="0.45">
      <c r="B27" s="5">
        <v>19</v>
      </c>
      <c r="C27" s="9"/>
      <c r="D27" s="9"/>
      <c r="E27" s="1">
        <f t="shared" ca="1" si="4"/>
        <v>-0.39247908202064163</v>
      </c>
      <c r="F27" s="5">
        <f t="shared" ca="1" si="5"/>
        <v>1.5106098758487789</v>
      </c>
    </row>
    <row r="28" spans="2:6" x14ac:dyDescent="0.45">
      <c r="B28" s="5">
        <v>20</v>
      </c>
      <c r="C28" s="9"/>
      <c r="D28" s="9"/>
      <c r="E28" s="1">
        <f t="shared" ca="1" si="4"/>
        <v>0.14422140089402424</v>
      </c>
      <c r="F28" s="5">
        <f t="shared" ca="1" si="5"/>
        <v>1.5147175189578244</v>
      </c>
    </row>
    <row r="29" spans="2:6" x14ac:dyDescent="0.45">
      <c r="B29" s="5">
        <v>21</v>
      </c>
      <c r="C29" s="9"/>
      <c r="D29" s="9"/>
      <c r="E29" s="1">
        <f t="shared" ca="1" si="4"/>
        <v>-1.0884660345992443</v>
      </c>
      <c r="F29" s="5">
        <f t="shared" ca="1" si="5"/>
        <v>-0.8352139003584782</v>
      </c>
    </row>
    <row r="30" spans="2:6" x14ac:dyDescent="0.45">
      <c r="B30" s="5">
        <v>22</v>
      </c>
      <c r="C30" s="9"/>
      <c r="D30" s="9"/>
      <c r="E30" s="1">
        <f t="shared" ca="1" si="4"/>
        <v>-8.370404372357676E-2</v>
      </c>
      <c r="F30" s="5">
        <f t="shared" ca="1" si="5"/>
        <v>-0.56536206371943032</v>
      </c>
    </row>
    <row r="31" spans="2:6" x14ac:dyDescent="0.45">
      <c r="B31" s="5">
        <v>23</v>
      </c>
      <c r="C31" s="9"/>
      <c r="D31" s="9"/>
      <c r="E31" s="1">
        <f t="shared" ca="1" si="4"/>
        <v>0.40154006126822156</v>
      </c>
      <c r="F31" s="5">
        <f t="shared" ca="1" si="5"/>
        <v>1.2647482087717228</v>
      </c>
    </row>
    <row r="32" spans="2:6" x14ac:dyDescent="0.45">
      <c r="B32" s="5">
        <v>24</v>
      </c>
      <c r="C32" s="9"/>
      <c r="D32" s="9"/>
      <c r="E32" s="1">
        <f t="shared" ca="1" si="4"/>
        <v>-0.25457817707363828</v>
      </c>
      <c r="F32" s="5">
        <f t="shared" ca="1" si="5"/>
        <v>-3.2800328079521601E-2</v>
      </c>
    </row>
    <row r="33" spans="2:6" x14ac:dyDescent="0.45">
      <c r="B33" s="5">
        <v>25</v>
      </c>
      <c r="C33" s="9"/>
      <c r="D33" s="9"/>
      <c r="E33" s="1">
        <f t="shared" ca="1" si="4"/>
        <v>-0.59051419380540837</v>
      </c>
      <c r="F33" s="5">
        <f t="shared" ca="1" si="5"/>
        <v>-0.7178886939739707</v>
      </c>
    </row>
    <row r="34" spans="2:6" x14ac:dyDescent="0.45">
      <c r="B34" s="5">
        <v>26</v>
      </c>
      <c r="C34" s="9"/>
      <c r="D34" s="9"/>
      <c r="E34" s="1">
        <f t="shared" ca="1" si="4"/>
        <v>1.0335154117254877</v>
      </c>
      <c r="F34" s="5">
        <f t="shared" ca="1" si="5"/>
        <v>0.27293119606965899</v>
      </c>
    </row>
    <row r="35" spans="2:6" x14ac:dyDescent="0.45">
      <c r="B35" s="5">
        <v>27</v>
      </c>
      <c r="C35" s="9"/>
      <c r="D35" s="9"/>
      <c r="E35" s="1">
        <f t="shared" ca="1" si="4"/>
        <v>0.55279208448270267</v>
      </c>
      <c r="F35" s="5">
        <f t="shared" ca="1" si="5"/>
        <v>0.55890238168096595</v>
      </c>
    </row>
    <row r="36" spans="2:6" x14ac:dyDescent="0.45">
      <c r="B36" s="5">
        <v>28</v>
      </c>
      <c r="C36" s="9"/>
      <c r="D36" s="9"/>
      <c r="E36" s="1">
        <f t="shared" ca="1" si="4"/>
        <v>6.5310560986535843E-2</v>
      </c>
      <c r="F36" s="5">
        <f t="shared" ca="1" si="5"/>
        <v>-5.5746532180185368E-2</v>
      </c>
    </row>
    <row r="37" spans="2:6" x14ac:dyDescent="0.45">
      <c r="B37" s="5">
        <v>29</v>
      </c>
      <c r="C37" s="9"/>
      <c r="D37" s="9"/>
      <c r="E37" s="1">
        <f t="shared" ca="1" si="4"/>
        <v>-1.3214196048385671</v>
      </c>
      <c r="F37" s="5">
        <f t="shared" ca="1" si="5"/>
        <v>0.85447117412518447</v>
      </c>
    </row>
    <row r="38" spans="2:6" x14ac:dyDescent="0.45">
      <c r="B38" s="5">
        <v>30</v>
      </c>
      <c r="C38" s="9"/>
      <c r="D38" s="9"/>
      <c r="E38" s="1">
        <f t="shared" ca="1" si="4"/>
        <v>-1.5044660687030202</v>
      </c>
      <c r="F38" s="5">
        <f t="shared" ca="1" si="5"/>
        <v>0.41540808244051775</v>
      </c>
    </row>
    <row r="39" spans="2:6" x14ac:dyDescent="0.45">
      <c r="B39" s="5">
        <v>31</v>
      </c>
      <c r="C39" s="9"/>
      <c r="D39" s="9"/>
      <c r="E39" s="1">
        <f t="shared" ca="1" si="4"/>
        <v>-1.2396731505278007</v>
      </c>
      <c r="F39" s="5">
        <f t="shared" ca="1" si="5"/>
        <v>0.88225815642251715</v>
      </c>
    </row>
    <row r="40" spans="2:6" x14ac:dyDescent="0.45">
      <c r="B40" s="5">
        <v>32</v>
      </c>
      <c r="C40" s="9"/>
      <c r="D40" s="9"/>
      <c r="E40" s="1">
        <f t="shared" ca="1" si="4"/>
        <v>0.17908343800470472</v>
      </c>
      <c r="F40" s="5">
        <f t="shared" ca="1" si="5"/>
        <v>-1.3602461872986966</v>
      </c>
    </row>
    <row r="41" spans="2:6" x14ac:dyDescent="0.45">
      <c r="B41" s="5">
        <v>33</v>
      </c>
      <c r="C41" s="9"/>
      <c r="D41" s="9"/>
      <c r="E41" s="1">
        <f t="shared" ca="1" si="4"/>
        <v>0.44776588765523478</v>
      </c>
      <c r="F41" s="5">
        <f t="shared" ca="1" si="5"/>
        <v>-0.3551708601238161</v>
      </c>
    </row>
    <row r="42" spans="2:6" x14ac:dyDescent="0.45">
      <c r="B42" s="5">
        <v>34</v>
      </c>
      <c r="C42" s="9"/>
      <c r="D42" s="9"/>
      <c r="E42" s="1">
        <f t="shared" ca="1" si="4"/>
        <v>-0.89453404755306576</v>
      </c>
      <c r="F42" s="5">
        <f t="shared" ca="1" si="5"/>
        <v>0.98011799808130129</v>
      </c>
    </row>
    <row r="43" spans="2:6" x14ac:dyDescent="0.45">
      <c r="B43" s="5">
        <v>35</v>
      </c>
      <c r="C43" s="9"/>
      <c r="D43" s="9"/>
      <c r="E43" s="1">
        <f t="shared" ca="1" si="4"/>
        <v>-9.8883171167489417E-2</v>
      </c>
      <c r="F43" s="5">
        <f t="shared" ca="1" si="5"/>
        <v>-0.2368713326346647</v>
      </c>
    </row>
    <row r="44" spans="2:6" x14ac:dyDescent="0.45">
      <c r="B44" s="5">
        <v>36</v>
      </c>
      <c r="C44" s="9"/>
      <c r="D44" s="9"/>
      <c r="E44" s="1">
        <f t="shared" ca="1" si="4"/>
        <v>0.32645274916838701</v>
      </c>
      <c r="F44" s="5">
        <f t="shared" ca="1" si="5"/>
        <v>-0.87034464011775647</v>
      </c>
    </row>
    <row r="45" spans="2:6" x14ac:dyDescent="0.45">
      <c r="B45" s="5">
        <v>37</v>
      </c>
      <c r="C45" s="9"/>
      <c r="D45" s="9"/>
      <c r="E45" s="1">
        <f t="shared" ca="1" si="4"/>
        <v>0.28039235658114775</v>
      </c>
      <c r="F45" s="5">
        <f t="shared" ca="1" si="5"/>
        <v>1.0315161997918354</v>
      </c>
    </row>
    <row r="46" spans="2:6" x14ac:dyDescent="0.45">
      <c r="B46" s="5">
        <v>38</v>
      </c>
      <c r="C46" s="9"/>
      <c r="D46" s="9"/>
      <c r="E46" s="1">
        <f t="shared" ca="1" si="4"/>
        <v>-0.20762761852999156</v>
      </c>
      <c r="F46" s="5">
        <f t="shared" ca="1" si="5"/>
        <v>0.75818317901345711</v>
      </c>
    </row>
    <row r="47" spans="2:6" x14ac:dyDescent="0.45">
      <c r="B47" s="5">
        <v>39</v>
      </c>
      <c r="C47" s="9"/>
      <c r="D47" s="9"/>
      <c r="E47" s="1">
        <f t="shared" ca="1" si="4"/>
        <v>8.0933193534195161E-2</v>
      </c>
      <c r="F47" s="5">
        <f t="shared" ca="1" si="5"/>
        <v>2.8687338859660218E-2</v>
      </c>
    </row>
    <row r="48" spans="2:6" x14ac:dyDescent="0.45">
      <c r="B48" s="5">
        <v>40</v>
      </c>
      <c r="C48" s="9"/>
      <c r="D48" s="9"/>
      <c r="E48" s="1">
        <f t="shared" ca="1" si="4"/>
        <v>-1.4007035460132098</v>
      </c>
      <c r="F48" s="5">
        <f t="shared" ca="1" si="5"/>
        <v>-0.7171473597864011</v>
      </c>
    </row>
    <row r="49" spans="2:6" x14ac:dyDescent="0.45">
      <c r="B49" s="5">
        <v>41</v>
      </c>
      <c r="C49" s="9"/>
      <c r="D49" s="9"/>
      <c r="E49" s="1">
        <f t="shared" ca="1" si="4"/>
        <v>-1.1119869866823791</v>
      </c>
      <c r="F49" s="5">
        <f t="shared" ca="1" si="5"/>
        <v>-1.0952017934082612</v>
      </c>
    </row>
    <row r="50" spans="2:6" x14ac:dyDescent="0.45">
      <c r="B50" s="5">
        <v>42</v>
      </c>
      <c r="C50" s="9"/>
      <c r="D50" s="9"/>
      <c r="E50" s="1">
        <f t="shared" ca="1" si="4"/>
        <v>-1.3838945514218253</v>
      </c>
      <c r="F50" s="5">
        <f t="shared" ca="1" si="5"/>
        <v>-0.63245936253530699</v>
      </c>
    </row>
    <row r="51" spans="2:6" x14ac:dyDescent="0.45">
      <c r="B51" s="5">
        <v>43</v>
      </c>
      <c r="C51" s="9"/>
      <c r="D51" s="9"/>
      <c r="E51" s="1">
        <f t="shared" ref="E51:E82" ca="1" si="6">E40*$G$7+F40*$H$7</f>
        <v>1.2675494726039493</v>
      </c>
      <c r="F51" s="5">
        <f t="shared" ref="F51:F82" ca="1" si="7">E40*$G$8+F40*$H$8</f>
        <v>-0.52503228694021853</v>
      </c>
    </row>
    <row r="52" spans="2:6" x14ac:dyDescent="0.45">
      <c r="B52" s="5">
        <v>44</v>
      </c>
      <c r="C52" s="9"/>
      <c r="D52" s="9"/>
      <c r="E52" s="1">
        <f t="shared" ca="1" si="6"/>
        <v>0.5314699313788116</v>
      </c>
      <c r="F52" s="5">
        <f t="shared" ca="1" si="7"/>
        <v>0.21019120359561422</v>
      </c>
    </row>
    <row r="53" spans="2:6" x14ac:dyDescent="0.45">
      <c r="B53" s="5">
        <v>45</v>
      </c>
      <c r="C53" s="9"/>
      <c r="D53" s="9"/>
      <c r="E53" s="1">
        <f t="shared" ca="1" si="6"/>
        <v>-1.2960741088212875</v>
      </c>
      <c r="F53" s="5">
        <f t="shared" ca="1" si="7"/>
        <v>-0.28463021069042116</v>
      </c>
    </row>
    <row r="54" spans="2:6" x14ac:dyDescent="0.45">
      <c r="B54" s="5">
        <v>46</v>
      </c>
      <c r="C54" s="9"/>
      <c r="D54" s="9"/>
      <c r="E54" s="1">
        <f t="shared" ca="1" si="6"/>
        <v>0.15569500590614885</v>
      </c>
      <c r="F54" s="5">
        <f t="shared" ca="1" si="7"/>
        <v>-0.20407100455514315</v>
      </c>
    </row>
    <row r="55" spans="2:6" x14ac:dyDescent="0.45">
      <c r="B55" s="5">
        <v>47</v>
      </c>
      <c r="C55" s="9"/>
      <c r="D55" s="9"/>
      <c r="E55" s="1">
        <f t="shared" ca="1" si="6"/>
        <v>0.91696694297379544</v>
      </c>
      <c r="F55" s="5">
        <f t="shared" ca="1" si="7"/>
        <v>-0.15245594614378594</v>
      </c>
    </row>
    <row r="56" spans="2:6" x14ac:dyDescent="0.45">
      <c r="B56" s="5">
        <v>48</v>
      </c>
      <c r="C56" s="9"/>
      <c r="D56" s="9"/>
      <c r="E56" s="1">
        <f t="shared" ca="1" si="6"/>
        <v>-0.75312305514433997</v>
      </c>
      <c r="F56" s="5">
        <f t="shared" ca="1" si="7"/>
        <v>0.75858500372217663</v>
      </c>
    </row>
    <row r="57" spans="2:6" x14ac:dyDescent="0.45">
      <c r="B57" s="5">
        <v>49</v>
      </c>
      <c r="C57" s="9"/>
      <c r="D57" s="9"/>
      <c r="E57" s="1">
        <f t="shared" ca="1" si="6"/>
        <v>-0.76041970301269435</v>
      </c>
      <c r="F57" s="5">
        <f t="shared" ca="1" si="7"/>
        <v>0.19928079733249135</v>
      </c>
    </row>
    <row r="58" spans="2:6" x14ac:dyDescent="0.45">
      <c r="B58" s="5">
        <v>50</v>
      </c>
      <c r="C58" s="9"/>
      <c r="D58" s="9"/>
      <c r="E58" s="1">
        <f t="shared" ca="1" si="6"/>
        <v>1.5622632547659332E-2</v>
      </c>
      <c r="F58" s="5">
        <f t="shared" ca="1" si="7"/>
        <v>8.4433871039845593E-2</v>
      </c>
    </row>
    <row r="59" spans="2:6" x14ac:dyDescent="0.45">
      <c r="B59" s="5">
        <v>51</v>
      </c>
      <c r="C59" s="9"/>
      <c r="D59" s="9"/>
      <c r="E59" s="1">
        <f t="shared" ca="1" si="6"/>
        <v>-7.928394117464288E-2</v>
      </c>
      <c r="F59" s="5">
        <f t="shared" ca="1" si="7"/>
        <v>-1.5716185339115856</v>
      </c>
    </row>
    <row r="60" spans="2:6" x14ac:dyDescent="0.45">
      <c r="B60" s="5">
        <v>52</v>
      </c>
      <c r="C60" s="9"/>
      <c r="D60" s="9"/>
      <c r="E60" s="1">
        <f t="shared" ca="1" si="6"/>
        <v>0.39247908202064108</v>
      </c>
      <c r="F60" s="5">
        <f t="shared" ca="1" si="7"/>
        <v>-1.5106098758487791</v>
      </c>
    </row>
    <row r="61" spans="2:6" x14ac:dyDescent="0.45">
      <c r="B61" s="5">
        <v>53</v>
      </c>
      <c r="C61" s="9"/>
      <c r="D61" s="9"/>
      <c r="E61" s="1">
        <f t="shared" ca="1" si="6"/>
        <v>-0.14422140089402491</v>
      </c>
      <c r="F61" s="5">
        <f t="shared" ca="1" si="7"/>
        <v>-1.5147175189578241</v>
      </c>
    </row>
    <row r="62" spans="2:6" x14ac:dyDescent="0.45">
      <c r="B62" s="5">
        <v>54</v>
      </c>
      <c r="C62" s="9"/>
      <c r="D62" s="9"/>
      <c r="E62" s="1">
        <f t="shared" ca="1" si="6"/>
        <v>1.0884660345992447</v>
      </c>
      <c r="F62" s="5">
        <f t="shared" ca="1" si="7"/>
        <v>0.8352139003584782</v>
      </c>
    </row>
    <row r="63" spans="2:6" x14ac:dyDescent="0.45">
      <c r="B63" s="5">
        <v>55</v>
      </c>
      <c r="C63" s="9"/>
      <c r="D63" s="9"/>
      <c r="E63" s="1">
        <f t="shared" ca="1" si="6"/>
        <v>8.3704043723576899E-2</v>
      </c>
      <c r="F63" s="5">
        <f t="shared" ca="1" si="7"/>
        <v>0.56536206371943032</v>
      </c>
    </row>
    <row r="64" spans="2:6" x14ac:dyDescent="0.45">
      <c r="B64" s="5">
        <v>56</v>
      </c>
      <c r="C64" s="9"/>
      <c r="D64" s="9"/>
      <c r="E64" s="1">
        <f t="shared" ca="1" si="6"/>
        <v>-0.40154006126822206</v>
      </c>
      <c r="F64" s="5">
        <f t="shared" ca="1" si="7"/>
        <v>-1.2647482087717223</v>
      </c>
    </row>
    <row r="65" spans="2:6" x14ac:dyDescent="0.45">
      <c r="B65" s="5">
        <v>57</v>
      </c>
      <c r="C65" s="9"/>
      <c r="D65" s="9"/>
      <c r="E65" s="1">
        <f t="shared" ca="1" si="6"/>
        <v>0.25457817707363828</v>
      </c>
      <c r="F65" s="5">
        <f t="shared" ca="1" si="7"/>
        <v>3.280032807952149E-2</v>
      </c>
    </row>
    <row r="66" spans="2:6" x14ac:dyDescent="0.45">
      <c r="B66" s="5">
        <v>58</v>
      </c>
      <c r="C66" s="9"/>
      <c r="D66" s="9"/>
      <c r="E66" s="1">
        <f t="shared" ca="1" si="6"/>
        <v>0.5905141938054087</v>
      </c>
      <c r="F66" s="5">
        <f t="shared" ca="1" si="7"/>
        <v>0.71788869397397048</v>
      </c>
    </row>
    <row r="67" spans="2:6" x14ac:dyDescent="0.45">
      <c r="B67" s="5">
        <v>59</v>
      </c>
      <c r="C67" s="9"/>
      <c r="D67" s="9"/>
      <c r="E67" s="1">
        <f t="shared" ca="1" si="6"/>
        <v>-1.0335154117254879</v>
      </c>
      <c r="F67" s="5">
        <f t="shared" ca="1" si="7"/>
        <v>-0.27293119606965865</v>
      </c>
    </row>
    <row r="68" spans="2:6" x14ac:dyDescent="0.45">
      <c r="B68" s="5">
        <v>60</v>
      </c>
      <c r="C68" s="9"/>
      <c r="D68" s="9"/>
      <c r="E68" s="1">
        <f t="shared" ca="1" si="6"/>
        <v>-0.55279208448270301</v>
      </c>
      <c r="F68" s="5">
        <f t="shared" ca="1" si="7"/>
        <v>-0.55890238168096573</v>
      </c>
    </row>
    <row r="69" spans="2:6" x14ac:dyDescent="0.45">
      <c r="B69" s="5">
        <v>61</v>
      </c>
      <c r="C69" s="9"/>
      <c r="D69" s="9"/>
      <c r="E69" s="1">
        <f t="shared" ca="1" si="6"/>
        <v>-6.5310560986535829E-2</v>
      </c>
      <c r="F69" s="5">
        <f t="shared" ca="1" si="7"/>
        <v>5.5746532180185389E-2</v>
      </c>
    </row>
    <row r="70" spans="2:6" x14ac:dyDescent="0.45">
      <c r="B70" s="5">
        <v>62</v>
      </c>
      <c r="C70" s="9"/>
      <c r="D70" s="9"/>
      <c r="E70" s="1">
        <f t="shared" ca="1" si="6"/>
        <v>1.3214196048385669</v>
      </c>
      <c r="F70" s="5">
        <f t="shared" ca="1" si="7"/>
        <v>-0.85447117412518481</v>
      </c>
    </row>
    <row r="71" spans="2:6" x14ac:dyDescent="0.45">
      <c r="B71" s="5">
        <v>63</v>
      </c>
      <c r="C71" s="9"/>
      <c r="D71" s="9"/>
      <c r="E71" s="1">
        <f t="shared" ca="1" si="6"/>
        <v>1.5044660687030202</v>
      </c>
      <c r="F71" s="5">
        <f t="shared" ca="1" si="7"/>
        <v>-0.4154080824405183</v>
      </c>
    </row>
    <row r="72" spans="2:6" x14ac:dyDescent="0.45">
      <c r="B72" s="5">
        <v>64</v>
      </c>
      <c r="C72" s="9"/>
      <c r="D72" s="9"/>
      <c r="E72" s="1">
        <f t="shared" ca="1" si="6"/>
        <v>1.2396731505278002</v>
      </c>
      <c r="F72" s="5">
        <f t="shared" ca="1" si="7"/>
        <v>-0.88225815642251759</v>
      </c>
    </row>
    <row r="73" spans="2:6" x14ac:dyDescent="0.45">
      <c r="B73" s="5">
        <v>65</v>
      </c>
      <c r="C73" s="9"/>
      <c r="D73" s="9"/>
      <c r="E73" s="1">
        <f t="shared" ca="1" si="6"/>
        <v>-0.1790834380047045</v>
      </c>
      <c r="F73" s="5">
        <f t="shared" ca="1" si="7"/>
        <v>1.3602461872986968</v>
      </c>
    </row>
    <row r="74" spans="2:6" x14ac:dyDescent="0.45">
      <c r="B74" s="5">
        <v>66</v>
      </c>
      <c r="C74" s="9"/>
      <c r="D74" s="9"/>
      <c r="E74" s="1">
        <f t="shared" ca="1" si="6"/>
        <v>-0.44776588765523473</v>
      </c>
      <c r="F74" s="5">
        <f t="shared" ca="1" si="7"/>
        <v>0.35517086012381621</v>
      </c>
    </row>
    <row r="75" spans="2:6" x14ac:dyDescent="0.45">
      <c r="B75" s="5">
        <v>67</v>
      </c>
      <c r="C75" s="9"/>
      <c r="D75" s="9"/>
      <c r="E75" s="1">
        <f ca="1">E8+2</f>
        <v>1.5522341123447652</v>
      </c>
      <c r="F75" s="5">
        <f ca="1">F8</f>
        <v>0.35517086012381588</v>
      </c>
    </row>
    <row r="76" spans="2:6" x14ac:dyDescent="0.45">
      <c r="B76" s="5">
        <v>68</v>
      </c>
      <c r="C76" s="9"/>
      <c r="D76" s="9"/>
      <c r="E76" s="1">
        <f t="shared" ref="E76:E139" ca="1" si="8">E9+2</f>
        <v>2.8945340475530661</v>
      </c>
      <c r="F76" s="5">
        <f t="shared" ref="F76:F139" ca="1" si="9">F9</f>
        <v>-0.98011799808130107</v>
      </c>
    </row>
    <row r="77" spans="2:6" x14ac:dyDescent="0.45">
      <c r="B77" s="5">
        <v>69</v>
      </c>
      <c r="C77" s="9"/>
      <c r="D77" s="9"/>
      <c r="E77" s="1">
        <f t="shared" ca="1" si="8"/>
        <v>2.0988831711674893</v>
      </c>
      <c r="F77" s="5">
        <f t="shared" ca="1" si="9"/>
        <v>0.23687133263466476</v>
      </c>
    </row>
    <row r="78" spans="2:6" x14ac:dyDescent="0.45">
      <c r="B78" s="5">
        <v>70</v>
      </c>
      <c r="C78" s="9"/>
      <c r="D78" s="9"/>
      <c r="E78" s="1">
        <f t="shared" ca="1" si="8"/>
        <v>1.6735472508316127</v>
      </c>
      <c r="F78" s="5">
        <f t="shared" ca="1" si="9"/>
        <v>0.87034464011775625</v>
      </c>
    </row>
    <row r="79" spans="2:6" x14ac:dyDescent="0.45">
      <c r="B79" s="5">
        <v>71</v>
      </c>
      <c r="C79" s="9"/>
      <c r="D79" s="9"/>
      <c r="E79" s="1">
        <f t="shared" ca="1" si="8"/>
        <v>1.7196076434188527</v>
      </c>
      <c r="F79" s="5">
        <f t="shared" ca="1" si="9"/>
        <v>-1.0315161997918354</v>
      </c>
    </row>
    <row r="80" spans="2:6" x14ac:dyDescent="0.45">
      <c r="B80" s="5">
        <v>72</v>
      </c>
      <c r="C80" s="9"/>
      <c r="D80" s="9"/>
      <c r="E80" s="1">
        <f t="shared" ca="1" si="8"/>
        <v>2.2076276185299921</v>
      </c>
      <c r="F80" s="5">
        <f t="shared" ca="1" si="9"/>
        <v>-0.758183179013457</v>
      </c>
    </row>
    <row r="81" spans="2:6" x14ac:dyDescent="0.45">
      <c r="B81" s="5">
        <v>73</v>
      </c>
      <c r="C81" s="9"/>
      <c r="D81" s="9"/>
      <c r="E81" s="1">
        <f t="shared" ca="1" si="8"/>
        <v>1.9190668064658047</v>
      </c>
      <c r="F81" s="5">
        <f t="shared" ca="1" si="9"/>
        <v>-2.8687338859660242E-2</v>
      </c>
    </row>
    <row r="82" spans="2:6" x14ac:dyDescent="0.45">
      <c r="B82" s="5">
        <v>74</v>
      </c>
      <c r="C82" s="9"/>
      <c r="D82" s="9"/>
      <c r="E82" s="1">
        <f t="shared" ca="1" si="8"/>
        <v>3.4007035460132098</v>
      </c>
      <c r="F82" s="5">
        <f t="shared" ca="1" si="9"/>
        <v>0.71714735978640143</v>
      </c>
    </row>
    <row r="83" spans="2:6" x14ac:dyDescent="0.45">
      <c r="B83" s="5">
        <v>75</v>
      </c>
      <c r="C83" s="9"/>
      <c r="D83" s="9"/>
      <c r="E83" s="1">
        <f t="shared" ca="1" si="8"/>
        <v>3.1119869866823784</v>
      </c>
      <c r="F83" s="5">
        <f t="shared" ca="1" si="9"/>
        <v>1.0952017934082616</v>
      </c>
    </row>
    <row r="84" spans="2:6" x14ac:dyDescent="0.45">
      <c r="B84" s="5">
        <v>76</v>
      </c>
      <c r="C84" s="9"/>
      <c r="D84" s="9"/>
      <c r="E84" s="1">
        <f t="shared" ca="1" si="8"/>
        <v>3.3838945514218253</v>
      </c>
      <c r="F84" s="5">
        <f t="shared" ca="1" si="9"/>
        <v>0.63245936253530755</v>
      </c>
    </row>
    <row r="85" spans="2:6" x14ac:dyDescent="0.45">
      <c r="B85" s="5">
        <v>77</v>
      </c>
      <c r="C85" s="9"/>
      <c r="D85" s="9"/>
      <c r="E85" s="1">
        <f t="shared" ca="1" si="8"/>
        <v>0.73245052739605088</v>
      </c>
      <c r="F85" s="5">
        <f t="shared" ca="1" si="9"/>
        <v>0.52503228694021797</v>
      </c>
    </row>
    <row r="86" spans="2:6" x14ac:dyDescent="0.45">
      <c r="B86" s="5">
        <v>78</v>
      </c>
      <c r="C86" s="9"/>
      <c r="D86" s="9"/>
      <c r="E86" s="1">
        <f t="shared" ca="1" si="8"/>
        <v>1.4685300686211886</v>
      </c>
      <c r="F86" s="5">
        <f t="shared" ca="1" si="9"/>
        <v>-0.21019120359561433</v>
      </c>
    </row>
    <row r="87" spans="2:6" x14ac:dyDescent="0.45">
      <c r="B87" s="5">
        <v>79</v>
      </c>
      <c r="C87" s="9"/>
      <c r="D87" s="9"/>
      <c r="E87" s="1">
        <f t="shared" ca="1" si="8"/>
        <v>3.2960741088212875</v>
      </c>
      <c r="F87" s="5">
        <f t="shared" ca="1" si="9"/>
        <v>0.28463021069042171</v>
      </c>
    </row>
    <row r="88" spans="2:6" x14ac:dyDescent="0.45">
      <c r="B88" s="5">
        <v>80</v>
      </c>
      <c r="C88" s="9"/>
      <c r="D88" s="9"/>
      <c r="E88" s="1">
        <f t="shared" ca="1" si="8"/>
        <v>1.844304994093851</v>
      </c>
      <c r="F88" s="5">
        <f t="shared" ca="1" si="9"/>
        <v>0.2040710045551431</v>
      </c>
    </row>
    <row r="89" spans="2:6" x14ac:dyDescent="0.45">
      <c r="B89" s="5">
        <v>81</v>
      </c>
      <c r="C89" s="9"/>
      <c r="D89" s="9"/>
      <c r="E89" s="1">
        <f t="shared" ca="1" si="8"/>
        <v>1.0830330570262046</v>
      </c>
      <c r="F89" s="5">
        <f t="shared" ca="1" si="9"/>
        <v>0.1524559461437856</v>
      </c>
    </row>
    <row r="90" spans="2:6" x14ac:dyDescent="0.45">
      <c r="B90" s="5">
        <v>82</v>
      </c>
      <c r="C90" s="9"/>
      <c r="D90" s="9"/>
      <c r="E90" s="1">
        <f t="shared" ca="1" si="8"/>
        <v>2.7531230551443402</v>
      </c>
      <c r="F90" s="5">
        <f t="shared" ca="1" si="9"/>
        <v>-0.75858500372217619</v>
      </c>
    </row>
    <row r="91" spans="2:6" x14ac:dyDescent="0.45">
      <c r="B91" s="5">
        <v>83</v>
      </c>
      <c r="C91" s="9"/>
      <c r="D91" s="9"/>
      <c r="E91" s="1">
        <f t="shared" ca="1" si="8"/>
        <v>2.7604197030126945</v>
      </c>
      <c r="F91" s="5">
        <f t="shared" ca="1" si="9"/>
        <v>-0.19928079733249099</v>
      </c>
    </row>
    <row r="92" spans="2:6" x14ac:dyDescent="0.45">
      <c r="B92" s="5">
        <v>84</v>
      </c>
      <c r="C92" s="9"/>
      <c r="D92" s="9"/>
      <c r="E92" s="1">
        <f t="shared" ca="1" si="8"/>
        <v>1.9843773674523406</v>
      </c>
      <c r="F92" s="5">
        <f t="shared" ca="1" si="9"/>
        <v>-8.4433871039845593E-2</v>
      </c>
    </row>
    <row r="93" spans="2:6" x14ac:dyDescent="0.45">
      <c r="B93" s="5">
        <v>85</v>
      </c>
      <c r="C93" s="9"/>
      <c r="D93" s="9"/>
      <c r="E93" s="1">
        <f t="shared" ca="1" si="8"/>
        <v>2.0792839411746424</v>
      </c>
      <c r="F93" s="5">
        <f t="shared" ca="1" si="9"/>
        <v>1.5716185339115856</v>
      </c>
    </row>
    <row r="94" spans="2:6" x14ac:dyDescent="0.45">
      <c r="B94" s="5">
        <v>86</v>
      </c>
      <c r="C94" s="9"/>
      <c r="D94" s="9"/>
      <c r="E94" s="1">
        <f t="shared" ca="1" si="8"/>
        <v>1.6075209179793584</v>
      </c>
      <c r="F94" s="5">
        <f t="shared" ca="1" si="9"/>
        <v>1.5106098758487789</v>
      </c>
    </row>
    <row r="95" spans="2:6" x14ac:dyDescent="0.45">
      <c r="B95" s="5">
        <v>87</v>
      </c>
      <c r="C95" s="9"/>
      <c r="D95" s="9"/>
      <c r="E95" s="1">
        <f t="shared" ca="1" si="8"/>
        <v>2.1442214008940241</v>
      </c>
      <c r="F95" s="5">
        <f t="shared" ca="1" si="9"/>
        <v>1.5147175189578244</v>
      </c>
    </row>
    <row r="96" spans="2:6" x14ac:dyDescent="0.45">
      <c r="B96" s="5">
        <v>88</v>
      </c>
      <c r="C96" s="9"/>
      <c r="D96" s="9"/>
      <c r="E96" s="1">
        <f t="shared" ca="1" si="8"/>
        <v>0.91153396540075571</v>
      </c>
      <c r="F96" s="5">
        <f t="shared" ca="1" si="9"/>
        <v>-0.8352139003584782</v>
      </c>
    </row>
    <row r="97" spans="2:6" x14ac:dyDescent="0.45">
      <c r="B97" s="5">
        <v>89</v>
      </c>
      <c r="C97" s="9"/>
      <c r="D97" s="9"/>
      <c r="E97" s="1">
        <f t="shared" ca="1" si="8"/>
        <v>1.9162959562764232</v>
      </c>
      <c r="F97" s="5">
        <f t="shared" ca="1" si="9"/>
        <v>-0.56536206371943032</v>
      </c>
    </row>
    <row r="98" spans="2:6" x14ac:dyDescent="0.45">
      <c r="B98" s="5">
        <v>90</v>
      </c>
      <c r="C98" s="9"/>
      <c r="D98" s="9"/>
      <c r="E98" s="1">
        <f t="shared" ca="1" si="8"/>
        <v>2.4015400612682214</v>
      </c>
      <c r="F98" s="5">
        <f t="shared" ca="1" si="9"/>
        <v>1.2647482087717228</v>
      </c>
    </row>
    <row r="99" spans="2:6" x14ac:dyDescent="0.45">
      <c r="B99" s="5">
        <v>91</v>
      </c>
      <c r="C99" s="9"/>
      <c r="D99" s="9"/>
      <c r="E99" s="1">
        <f t="shared" ca="1" si="8"/>
        <v>1.7454218229263616</v>
      </c>
      <c r="F99" s="5">
        <f t="shared" ca="1" si="9"/>
        <v>-3.2800328079521601E-2</v>
      </c>
    </row>
    <row r="100" spans="2:6" x14ac:dyDescent="0.45">
      <c r="B100" s="5">
        <v>92</v>
      </c>
      <c r="C100" s="9"/>
      <c r="D100" s="9"/>
      <c r="E100" s="1">
        <f t="shared" ca="1" si="8"/>
        <v>1.4094858061945916</v>
      </c>
      <c r="F100" s="5">
        <f t="shared" ca="1" si="9"/>
        <v>-0.7178886939739707</v>
      </c>
    </row>
    <row r="101" spans="2:6" x14ac:dyDescent="0.45">
      <c r="B101" s="5">
        <v>93</v>
      </c>
      <c r="C101" s="9"/>
      <c r="D101" s="9"/>
      <c r="E101" s="1">
        <f t="shared" ca="1" si="8"/>
        <v>3.0335154117254879</v>
      </c>
      <c r="F101" s="5">
        <f t="shared" ca="1" si="9"/>
        <v>0.27293119606965899</v>
      </c>
    </row>
    <row r="102" spans="2:6" x14ac:dyDescent="0.45">
      <c r="B102" s="5">
        <v>94</v>
      </c>
      <c r="C102" s="9"/>
      <c r="D102" s="9"/>
      <c r="E102" s="1">
        <f t="shared" ca="1" si="8"/>
        <v>2.5527920844827028</v>
      </c>
      <c r="F102" s="5">
        <f t="shared" ca="1" si="9"/>
        <v>0.55890238168096595</v>
      </c>
    </row>
    <row r="103" spans="2:6" x14ac:dyDescent="0.45">
      <c r="B103" s="5">
        <v>95</v>
      </c>
      <c r="C103" s="9"/>
      <c r="D103" s="9"/>
      <c r="E103" s="1">
        <f t="shared" ca="1" si="8"/>
        <v>2.0653105609865356</v>
      </c>
      <c r="F103" s="5">
        <f t="shared" ca="1" si="9"/>
        <v>-5.5746532180185368E-2</v>
      </c>
    </row>
    <row r="104" spans="2:6" x14ac:dyDescent="0.45">
      <c r="B104" s="5">
        <v>96</v>
      </c>
      <c r="C104" s="9"/>
      <c r="D104" s="9"/>
      <c r="E104" s="1">
        <f t="shared" ca="1" si="8"/>
        <v>0.67858039516143287</v>
      </c>
      <c r="F104" s="5">
        <f t="shared" ca="1" si="9"/>
        <v>0.85447117412518447</v>
      </c>
    </row>
    <row r="105" spans="2:6" x14ac:dyDescent="0.45">
      <c r="B105" s="5">
        <v>97</v>
      </c>
      <c r="C105" s="9"/>
      <c r="D105" s="9"/>
      <c r="E105" s="1">
        <f t="shared" ca="1" si="8"/>
        <v>0.49553393129697976</v>
      </c>
      <c r="F105" s="5">
        <f t="shared" ca="1" si="9"/>
        <v>0.41540808244051775</v>
      </c>
    </row>
    <row r="106" spans="2:6" x14ac:dyDescent="0.45">
      <c r="B106" s="5">
        <v>98</v>
      </c>
      <c r="C106" s="9"/>
      <c r="D106" s="9"/>
      <c r="E106" s="1">
        <f t="shared" ca="1" si="8"/>
        <v>0.76032684947219931</v>
      </c>
      <c r="F106" s="5">
        <f t="shared" ca="1" si="9"/>
        <v>0.88225815642251715</v>
      </c>
    </row>
    <row r="107" spans="2:6" x14ac:dyDescent="0.45">
      <c r="B107" s="5">
        <v>99</v>
      </c>
      <c r="C107" s="9"/>
      <c r="D107" s="9"/>
      <c r="E107" s="1">
        <f t="shared" ca="1" si="8"/>
        <v>2.1790834380047048</v>
      </c>
      <c r="F107" s="5">
        <f t="shared" ca="1" si="9"/>
        <v>-1.3602461872986966</v>
      </c>
    </row>
    <row r="108" spans="2:6" x14ac:dyDescent="0.45">
      <c r="B108" s="5">
        <v>100</v>
      </c>
      <c r="C108" s="9"/>
      <c r="D108" s="9"/>
      <c r="E108" s="1">
        <f t="shared" ca="1" si="8"/>
        <v>2.4477658876552346</v>
      </c>
      <c r="F108" s="5">
        <f t="shared" ca="1" si="9"/>
        <v>-0.3551708601238161</v>
      </c>
    </row>
    <row r="109" spans="2:6" x14ac:dyDescent="0.45">
      <c r="B109" s="5">
        <v>101</v>
      </c>
      <c r="C109" s="9"/>
      <c r="D109" s="9"/>
      <c r="E109" s="1">
        <f t="shared" ca="1" si="8"/>
        <v>1.1054659524469344</v>
      </c>
      <c r="F109" s="5">
        <f t="shared" ca="1" si="9"/>
        <v>0.98011799808130129</v>
      </c>
    </row>
    <row r="110" spans="2:6" x14ac:dyDescent="0.45">
      <c r="B110" s="5">
        <v>102</v>
      </c>
      <c r="C110" s="9"/>
      <c r="D110" s="9"/>
      <c r="E110" s="1">
        <f t="shared" ca="1" si="8"/>
        <v>1.9011168288325107</v>
      </c>
      <c r="F110" s="5">
        <f t="shared" ca="1" si="9"/>
        <v>-0.2368713326346647</v>
      </c>
    </row>
    <row r="111" spans="2:6" x14ac:dyDescent="0.45">
      <c r="B111" s="5">
        <v>103</v>
      </c>
      <c r="C111" s="9"/>
      <c r="D111" s="9"/>
      <c r="E111" s="1">
        <f t="shared" ca="1" si="8"/>
        <v>2.3264527491683871</v>
      </c>
      <c r="F111" s="5">
        <f t="shared" ca="1" si="9"/>
        <v>-0.87034464011775647</v>
      </c>
    </row>
    <row r="112" spans="2:6" x14ac:dyDescent="0.45">
      <c r="B112" s="5">
        <v>104</v>
      </c>
      <c r="C112" s="9"/>
      <c r="D112" s="9"/>
      <c r="E112" s="1">
        <f t="shared" ca="1" si="8"/>
        <v>2.2803923565811477</v>
      </c>
      <c r="F112" s="5">
        <f t="shared" ca="1" si="9"/>
        <v>1.0315161997918354</v>
      </c>
    </row>
    <row r="113" spans="2:6" x14ac:dyDescent="0.45">
      <c r="B113" s="5">
        <v>105</v>
      </c>
      <c r="C113" s="9"/>
      <c r="D113" s="9"/>
      <c r="E113" s="1">
        <f t="shared" ca="1" si="8"/>
        <v>1.7923723814700083</v>
      </c>
      <c r="F113" s="5">
        <f t="shared" ca="1" si="9"/>
        <v>0.75818317901345711</v>
      </c>
    </row>
    <row r="114" spans="2:6" x14ac:dyDescent="0.45">
      <c r="B114" s="5">
        <v>106</v>
      </c>
      <c r="C114" s="9"/>
      <c r="D114" s="9"/>
      <c r="E114" s="1">
        <f t="shared" ca="1" si="8"/>
        <v>2.0809331935341953</v>
      </c>
      <c r="F114" s="5">
        <f t="shared" ca="1" si="9"/>
        <v>2.8687338859660218E-2</v>
      </c>
    </row>
    <row r="115" spans="2:6" x14ac:dyDescent="0.45">
      <c r="B115" s="5">
        <v>107</v>
      </c>
      <c r="C115" s="9"/>
      <c r="D115" s="9"/>
      <c r="E115" s="1">
        <f t="shared" ca="1" si="8"/>
        <v>0.59929645398679021</v>
      </c>
      <c r="F115" s="5">
        <f t="shared" ca="1" si="9"/>
        <v>-0.7171473597864011</v>
      </c>
    </row>
    <row r="116" spans="2:6" x14ac:dyDescent="0.45">
      <c r="B116" s="5">
        <v>108</v>
      </c>
      <c r="C116" s="9"/>
      <c r="D116" s="9"/>
      <c r="E116" s="1">
        <f t="shared" ca="1" si="8"/>
        <v>0.88801301331762095</v>
      </c>
      <c r="F116" s="5">
        <f t="shared" ca="1" si="9"/>
        <v>-1.0952017934082612</v>
      </c>
    </row>
    <row r="117" spans="2:6" x14ac:dyDescent="0.45">
      <c r="B117" s="5">
        <v>109</v>
      </c>
      <c r="C117" s="9"/>
      <c r="D117" s="9"/>
      <c r="E117" s="1">
        <f t="shared" ca="1" si="8"/>
        <v>0.61610544857817473</v>
      </c>
      <c r="F117" s="5">
        <f t="shared" ca="1" si="9"/>
        <v>-0.63245936253530699</v>
      </c>
    </row>
    <row r="118" spans="2:6" x14ac:dyDescent="0.45">
      <c r="B118" s="5">
        <v>110</v>
      </c>
      <c r="C118" s="9"/>
      <c r="D118" s="9"/>
      <c r="E118" s="1">
        <f t="shared" ca="1" si="8"/>
        <v>3.2675494726039496</v>
      </c>
      <c r="F118" s="5">
        <f t="shared" ca="1" si="9"/>
        <v>-0.52503228694021853</v>
      </c>
    </row>
    <row r="119" spans="2:6" x14ac:dyDescent="0.45">
      <c r="B119" s="5">
        <v>111</v>
      </c>
      <c r="C119" s="9"/>
      <c r="D119" s="9"/>
      <c r="E119" s="1">
        <f t="shared" ca="1" si="8"/>
        <v>2.5314699313788118</v>
      </c>
      <c r="F119" s="5">
        <f t="shared" ca="1" si="9"/>
        <v>0.21019120359561422</v>
      </c>
    </row>
    <row r="120" spans="2:6" x14ac:dyDescent="0.45">
      <c r="B120" s="5">
        <v>112</v>
      </c>
      <c r="C120" s="9"/>
      <c r="D120" s="9"/>
      <c r="E120" s="1">
        <f t="shared" ca="1" si="8"/>
        <v>0.70392589117871252</v>
      </c>
      <c r="F120" s="5">
        <f t="shared" ca="1" si="9"/>
        <v>-0.28463021069042116</v>
      </c>
    </row>
    <row r="121" spans="2:6" x14ac:dyDescent="0.45">
      <c r="B121" s="5">
        <v>113</v>
      </c>
      <c r="C121" s="9"/>
      <c r="D121" s="9"/>
      <c r="E121" s="1">
        <f t="shared" ca="1" si="8"/>
        <v>2.155695005906149</v>
      </c>
      <c r="F121" s="5">
        <f t="shared" ca="1" si="9"/>
        <v>-0.20407100455514315</v>
      </c>
    </row>
    <row r="122" spans="2:6" x14ac:dyDescent="0.45">
      <c r="B122" s="5">
        <v>114</v>
      </c>
      <c r="C122" s="9"/>
      <c r="D122" s="9"/>
      <c r="E122" s="1">
        <f t="shared" ca="1" si="8"/>
        <v>2.9169669429737954</v>
      </c>
      <c r="F122" s="5">
        <f t="shared" ca="1" si="9"/>
        <v>-0.15245594614378594</v>
      </c>
    </row>
    <row r="123" spans="2:6" x14ac:dyDescent="0.45">
      <c r="B123" s="5">
        <v>115</v>
      </c>
      <c r="C123" s="9"/>
      <c r="D123" s="9"/>
      <c r="E123" s="1">
        <f t="shared" ca="1" si="8"/>
        <v>1.24687694485566</v>
      </c>
      <c r="F123" s="5">
        <f t="shared" ca="1" si="9"/>
        <v>0.75858500372217663</v>
      </c>
    </row>
    <row r="124" spans="2:6" x14ac:dyDescent="0.45">
      <c r="B124" s="5">
        <v>116</v>
      </c>
      <c r="C124" s="9"/>
      <c r="D124" s="9"/>
      <c r="E124" s="1">
        <f t="shared" ca="1" si="8"/>
        <v>1.2395802969873055</v>
      </c>
      <c r="F124" s="5">
        <f t="shared" ca="1" si="9"/>
        <v>0.19928079733249135</v>
      </c>
    </row>
    <row r="125" spans="2:6" x14ac:dyDescent="0.45">
      <c r="B125" s="5">
        <v>117</v>
      </c>
      <c r="C125" s="9"/>
      <c r="D125" s="9"/>
      <c r="E125" s="1">
        <f t="shared" ca="1" si="8"/>
        <v>2.0156226325476592</v>
      </c>
      <c r="F125" s="5">
        <f t="shared" ca="1" si="9"/>
        <v>8.4433871039845593E-2</v>
      </c>
    </row>
    <row r="126" spans="2:6" x14ac:dyDescent="0.45">
      <c r="B126" s="5">
        <v>118</v>
      </c>
      <c r="C126" s="9"/>
      <c r="D126" s="9"/>
      <c r="E126" s="1">
        <f t="shared" ca="1" si="8"/>
        <v>1.9207160588253571</v>
      </c>
      <c r="F126" s="5">
        <f t="shared" ca="1" si="9"/>
        <v>-1.5716185339115856</v>
      </c>
    </row>
    <row r="127" spans="2:6" x14ac:dyDescent="0.45">
      <c r="B127" s="5">
        <v>119</v>
      </c>
      <c r="C127" s="9"/>
      <c r="D127" s="9"/>
      <c r="E127" s="1">
        <f t="shared" ca="1" si="8"/>
        <v>2.3924790820206412</v>
      </c>
      <c r="F127" s="5">
        <f t="shared" ca="1" si="9"/>
        <v>-1.5106098758487791</v>
      </c>
    </row>
    <row r="128" spans="2:6" x14ac:dyDescent="0.45">
      <c r="B128" s="5">
        <v>120</v>
      </c>
      <c r="C128" s="9"/>
      <c r="D128" s="9"/>
      <c r="E128" s="1">
        <f t="shared" ca="1" si="8"/>
        <v>1.855778599105975</v>
      </c>
      <c r="F128" s="5">
        <f t="shared" ca="1" si="9"/>
        <v>-1.5147175189578241</v>
      </c>
    </row>
    <row r="129" spans="2:6" x14ac:dyDescent="0.45">
      <c r="B129" s="5">
        <v>121</v>
      </c>
      <c r="C129" s="9"/>
      <c r="D129" s="9"/>
      <c r="E129" s="1">
        <f t="shared" ca="1" si="8"/>
        <v>3.0884660345992447</v>
      </c>
      <c r="F129" s="5">
        <f t="shared" ca="1" si="9"/>
        <v>0.8352139003584782</v>
      </c>
    </row>
    <row r="130" spans="2:6" x14ac:dyDescent="0.45">
      <c r="B130" s="5">
        <v>122</v>
      </c>
      <c r="C130" s="9"/>
      <c r="D130" s="9"/>
      <c r="E130" s="1">
        <f t="shared" ca="1" si="8"/>
        <v>2.0837040437235768</v>
      </c>
      <c r="F130" s="5">
        <f t="shared" ca="1" si="9"/>
        <v>0.56536206371943032</v>
      </c>
    </row>
    <row r="131" spans="2:6" x14ac:dyDescent="0.45">
      <c r="B131" s="5">
        <v>123</v>
      </c>
      <c r="C131" s="9"/>
      <c r="D131" s="9"/>
      <c r="E131" s="1">
        <f t="shared" ca="1" si="8"/>
        <v>1.5984599387317779</v>
      </c>
      <c r="F131" s="5">
        <f t="shared" ca="1" si="9"/>
        <v>-1.2647482087717223</v>
      </c>
    </row>
    <row r="132" spans="2:6" x14ac:dyDescent="0.45">
      <c r="B132" s="5">
        <v>124</v>
      </c>
      <c r="C132" s="9"/>
      <c r="D132" s="9"/>
      <c r="E132" s="1">
        <f t="shared" ca="1" si="8"/>
        <v>2.2545781770736384</v>
      </c>
      <c r="F132" s="5">
        <f t="shared" ca="1" si="9"/>
        <v>3.280032807952149E-2</v>
      </c>
    </row>
    <row r="133" spans="2:6" x14ac:dyDescent="0.45">
      <c r="B133" s="5">
        <v>125</v>
      </c>
      <c r="C133" s="9"/>
      <c r="D133" s="9"/>
      <c r="E133" s="1">
        <f t="shared" ca="1" si="8"/>
        <v>2.5905141938054088</v>
      </c>
      <c r="F133" s="5">
        <f t="shared" ca="1" si="9"/>
        <v>0.71788869397397048</v>
      </c>
    </row>
    <row r="134" spans="2:6" x14ac:dyDescent="0.45">
      <c r="B134" s="5">
        <v>126</v>
      </c>
      <c r="C134" s="9"/>
      <c r="D134" s="9"/>
      <c r="E134" s="1">
        <f t="shared" ca="1" si="8"/>
        <v>0.96648458827451211</v>
      </c>
      <c r="F134" s="5">
        <f t="shared" ca="1" si="9"/>
        <v>-0.27293119606965865</v>
      </c>
    </row>
    <row r="135" spans="2:6" x14ac:dyDescent="0.45">
      <c r="B135" s="5">
        <v>127</v>
      </c>
      <c r="C135" s="9"/>
      <c r="D135" s="9"/>
      <c r="E135" s="1">
        <f t="shared" ca="1" si="8"/>
        <v>1.447207915517297</v>
      </c>
      <c r="F135" s="5">
        <f t="shared" ca="1" si="9"/>
        <v>-0.55890238168096573</v>
      </c>
    </row>
    <row r="136" spans="2:6" x14ac:dyDescent="0.45">
      <c r="B136" s="5">
        <v>128</v>
      </c>
      <c r="C136" s="9"/>
      <c r="D136" s="9"/>
      <c r="E136" s="1">
        <f t="shared" ca="1" si="8"/>
        <v>1.9346894390134641</v>
      </c>
      <c r="F136" s="5">
        <f t="shared" ca="1" si="9"/>
        <v>5.5746532180185389E-2</v>
      </c>
    </row>
    <row r="137" spans="2:6" x14ac:dyDescent="0.45">
      <c r="B137" s="5">
        <v>129</v>
      </c>
      <c r="C137" s="9"/>
      <c r="D137" s="9"/>
      <c r="E137" s="1">
        <f t="shared" ca="1" si="8"/>
        <v>3.3214196048385669</v>
      </c>
      <c r="F137" s="5">
        <f t="shared" ca="1" si="9"/>
        <v>-0.85447117412518481</v>
      </c>
    </row>
    <row r="138" spans="2:6" x14ac:dyDescent="0.45">
      <c r="B138" s="5">
        <v>130</v>
      </c>
      <c r="C138" s="9"/>
      <c r="D138" s="9"/>
      <c r="E138" s="1">
        <f t="shared" ca="1" si="8"/>
        <v>3.50446606870302</v>
      </c>
      <c r="F138" s="5">
        <f t="shared" ca="1" si="9"/>
        <v>-0.4154080824405183</v>
      </c>
    </row>
    <row r="139" spans="2:6" x14ac:dyDescent="0.45">
      <c r="B139" s="5">
        <v>131</v>
      </c>
      <c r="C139" s="9"/>
      <c r="D139" s="9"/>
      <c r="E139" s="1">
        <f t="shared" ca="1" si="8"/>
        <v>3.2396731505278002</v>
      </c>
      <c r="F139" s="5">
        <f t="shared" ca="1" si="9"/>
        <v>-0.88225815642251759</v>
      </c>
    </row>
    <row r="140" spans="2:6" x14ac:dyDescent="0.45">
      <c r="B140" s="5">
        <v>132</v>
      </c>
      <c r="C140" s="9"/>
      <c r="D140" s="9"/>
      <c r="E140" s="1">
        <f t="shared" ref="E140" ca="1" si="10">E73+2</f>
        <v>1.8209165619952956</v>
      </c>
      <c r="F140" s="5">
        <f t="shared" ref="F140" ca="1" si="11">F73</f>
        <v>1.3602461872986968</v>
      </c>
    </row>
    <row r="141" spans="2:6" x14ac:dyDescent="0.45">
      <c r="B141" s="5">
        <v>133</v>
      </c>
      <c r="C141" s="9"/>
      <c r="D141" s="9"/>
      <c r="E141" s="1">
        <f ca="1">E8+2*COS(2*PI()/6)</f>
        <v>0.55223411234476538</v>
      </c>
      <c r="F141" s="5">
        <f ca="1">F8+2*SIN(2*PI()/6)</f>
        <v>2.0872216676926931</v>
      </c>
    </row>
    <row r="142" spans="2:6" x14ac:dyDescent="0.45">
      <c r="B142" s="5">
        <v>134</v>
      </c>
      <c r="C142" s="9"/>
      <c r="D142" s="9"/>
      <c r="E142" s="1">
        <f t="shared" ref="E142:E205" ca="1" si="12">E9+2*COS(2*PI()/6)</f>
        <v>1.8945340475530665</v>
      </c>
      <c r="F142" s="5">
        <f t="shared" ref="F142:F205" ca="1" si="13">F9+2*SIN(2*PI()/6)</f>
        <v>0.75193280948757613</v>
      </c>
    </row>
    <row r="143" spans="2:6" x14ac:dyDescent="0.45">
      <c r="B143" s="5">
        <v>135</v>
      </c>
      <c r="C143" s="9"/>
      <c r="D143" s="9"/>
      <c r="E143" s="1">
        <f t="shared" ca="1" si="12"/>
        <v>1.0988831711674896</v>
      </c>
      <c r="F143" s="5">
        <f t="shared" ca="1" si="13"/>
        <v>1.9689221402035419</v>
      </c>
    </row>
    <row r="144" spans="2:6" x14ac:dyDescent="0.45">
      <c r="B144" s="5">
        <v>136</v>
      </c>
      <c r="C144" s="9"/>
      <c r="D144" s="9"/>
      <c r="E144" s="1">
        <f t="shared" ca="1" si="12"/>
        <v>0.67354725083161293</v>
      </c>
      <c r="F144" s="5">
        <f t="shared" ca="1" si="13"/>
        <v>2.6023954476866336</v>
      </c>
    </row>
    <row r="145" spans="2:6" x14ac:dyDescent="0.45">
      <c r="B145" s="5">
        <v>137</v>
      </c>
      <c r="C145" s="9"/>
      <c r="D145" s="9"/>
      <c r="E145" s="1">
        <f t="shared" ca="1" si="12"/>
        <v>0.71960764341885297</v>
      </c>
      <c r="F145" s="5">
        <f t="shared" ca="1" si="13"/>
        <v>0.7005346077770418</v>
      </c>
    </row>
    <row r="146" spans="2:6" x14ac:dyDescent="0.45">
      <c r="B146" s="5">
        <v>138</v>
      </c>
      <c r="C146" s="9"/>
      <c r="D146" s="9"/>
      <c r="E146" s="1">
        <f t="shared" ca="1" si="12"/>
        <v>1.2076276185299921</v>
      </c>
      <c r="F146" s="5">
        <f t="shared" ca="1" si="13"/>
        <v>0.9738676285554202</v>
      </c>
    </row>
    <row r="147" spans="2:6" x14ac:dyDescent="0.45">
      <c r="B147" s="5">
        <v>139</v>
      </c>
      <c r="C147" s="9"/>
      <c r="D147" s="9"/>
      <c r="E147" s="1">
        <f t="shared" ca="1" si="12"/>
        <v>0.91906680646580508</v>
      </c>
      <c r="F147" s="5">
        <f t="shared" ca="1" si="13"/>
        <v>1.703363468709217</v>
      </c>
    </row>
    <row r="148" spans="2:6" x14ac:dyDescent="0.45">
      <c r="B148" s="5">
        <v>140</v>
      </c>
      <c r="C148" s="9"/>
      <c r="D148" s="9"/>
      <c r="E148" s="1">
        <f t="shared" ca="1" si="12"/>
        <v>2.4007035460132098</v>
      </c>
      <c r="F148" s="5">
        <f t="shared" ca="1" si="13"/>
        <v>2.4491981673552785</v>
      </c>
    </row>
    <row r="149" spans="2:6" x14ac:dyDescent="0.45">
      <c r="B149" s="5">
        <v>141</v>
      </c>
      <c r="C149" s="9"/>
      <c r="D149" s="9"/>
      <c r="E149" s="1">
        <f t="shared" ca="1" si="12"/>
        <v>2.1119869866823788</v>
      </c>
      <c r="F149" s="5">
        <f t="shared" ca="1" si="13"/>
        <v>2.8272526009771388</v>
      </c>
    </row>
    <row r="150" spans="2:6" x14ac:dyDescent="0.45">
      <c r="B150" s="5">
        <v>142</v>
      </c>
      <c r="C150" s="9"/>
      <c r="D150" s="9"/>
      <c r="E150" s="1">
        <f t="shared" ca="1" si="12"/>
        <v>2.3838945514218253</v>
      </c>
      <c r="F150" s="5">
        <f t="shared" ca="1" si="13"/>
        <v>2.3645101701041846</v>
      </c>
    </row>
    <row r="151" spans="2:6" x14ac:dyDescent="0.45">
      <c r="B151" s="5">
        <v>143</v>
      </c>
      <c r="C151" s="9"/>
      <c r="D151" s="9"/>
      <c r="E151" s="1">
        <f t="shared" ca="1" si="12"/>
        <v>-0.2675494726039489</v>
      </c>
      <c r="F151" s="5">
        <f t="shared" ca="1" si="13"/>
        <v>2.2570830945090954</v>
      </c>
    </row>
    <row r="152" spans="2:6" x14ac:dyDescent="0.45">
      <c r="B152" s="5">
        <v>144</v>
      </c>
      <c r="C152" s="9"/>
      <c r="D152" s="9"/>
      <c r="E152" s="1">
        <f t="shared" ca="1" si="12"/>
        <v>0.46853006862118873</v>
      </c>
      <c r="F152" s="5">
        <f t="shared" ca="1" si="13"/>
        <v>1.5218596039732628</v>
      </c>
    </row>
    <row r="153" spans="2:6" x14ac:dyDescent="0.45">
      <c r="B153" s="5">
        <v>145</v>
      </c>
      <c r="C153" s="9"/>
      <c r="D153" s="9"/>
      <c r="E153" s="1">
        <f t="shared" ca="1" si="12"/>
        <v>2.2960741088212879</v>
      </c>
      <c r="F153" s="5">
        <f t="shared" ca="1" si="13"/>
        <v>2.0166810182592991</v>
      </c>
    </row>
    <row r="154" spans="2:6" x14ac:dyDescent="0.45">
      <c r="B154" s="5">
        <v>146</v>
      </c>
      <c r="C154" s="9"/>
      <c r="D154" s="9"/>
      <c r="E154" s="1">
        <f t="shared" ca="1" si="12"/>
        <v>0.84430499409385129</v>
      </c>
      <c r="F154" s="5">
        <f t="shared" ca="1" si="13"/>
        <v>1.9361218121240202</v>
      </c>
    </row>
    <row r="155" spans="2:6" x14ac:dyDescent="0.45">
      <c r="B155" s="5">
        <v>147</v>
      </c>
      <c r="C155" s="9"/>
      <c r="D155" s="9"/>
      <c r="E155" s="1">
        <f t="shared" ca="1" si="12"/>
        <v>8.3033057026204782E-2</v>
      </c>
      <c r="F155" s="5">
        <f t="shared" ca="1" si="13"/>
        <v>1.8845067537126627</v>
      </c>
    </row>
    <row r="156" spans="2:6" x14ac:dyDescent="0.45">
      <c r="B156" s="5">
        <v>148</v>
      </c>
      <c r="C156" s="9"/>
      <c r="D156" s="9"/>
      <c r="E156" s="1">
        <f t="shared" ca="1" si="12"/>
        <v>1.7531230551443404</v>
      </c>
      <c r="F156" s="5">
        <f t="shared" ca="1" si="13"/>
        <v>0.97346580384670101</v>
      </c>
    </row>
    <row r="157" spans="2:6" x14ac:dyDescent="0.45">
      <c r="B157" s="5">
        <v>149</v>
      </c>
      <c r="C157" s="9"/>
      <c r="D157" s="9"/>
      <c r="E157" s="1">
        <f t="shared" ca="1" si="12"/>
        <v>1.7604197030126945</v>
      </c>
      <c r="F157" s="5">
        <f t="shared" ca="1" si="13"/>
        <v>1.5327700102363861</v>
      </c>
    </row>
    <row r="158" spans="2:6" x14ac:dyDescent="0.45">
      <c r="B158" s="5">
        <v>150</v>
      </c>
      <c r="C158" s="9"/>
      <c r="D158" s="9"/>
      <c r="E158" s="1">
        <f t="shared" ca="1" si="12"/>
        <v>0.98437736745234095</v>
      </c>
      <c r="F158" s="5">
        <f t="shared" ca="1" si="13"/>
        <v>1.6476169365290316</v>
      </c>
    </row>
    <row r="159" spans="2:6" x14ac:dyDescent="0.45">
      <c r="B159" s="5">
        <v>151</v>
      </c>
      <c r="C159" s="9"/>
      <c r="D159" s="9"/>
      <c r="E159" s="1">
        <f t="shared" ca="1" si="12"/>
        <v>1.0792839411746429</v>
      </c>
      <c r="F159" s="5">
        <f t="shared" ca="1" si="13"/>
        <v>3.3036693414804628</v>
      </c>
    </row>
    <row r="160" spans="2:6" x14ac:dyDescent="0.45">
      <c r="B160" s="5">
        <v>152</v>
      </c>
      <c r="C160" s="9"/>
      <c r="D160" s="9"/>
      <c r="E160" s="1">
        <f t="shared" ca="1" si="12"/>
        <v>0.60752091797935859</v>
      </c>
      <c r="F160" s="5">
        <f t="shared" ca="1" si="13"/>
        <v>3.2426606834176561</v>
      </c>
    </row>
    <row r="161" spans="2:6" x14ac:dyDescent="0.45">
      <c r="B161" s="5">
        <v>153</v>
      </c>
      <c r="C161" s="9"/>
      <c r="D161" s="9"/>
      <c r="E161" s="1">
        <f t="shared" ca="1" si="12"/>
        <v>1.1442214008940246</v>
      </c>
      <c r="F161" s="5">
        <f t="shared" ca="1" si="13"/>
        <v>3.2467683265267016</v>
      </c>
    </row>
    <row r="162" spans="2:6" x14ac:dyDescent="0.45">
      <c r="B162" s="5">
        <v>154</v>
      </c>
      <c r="C162" s="9"/>
      <c r="D162" s="9"/>
      <c r="E162" s="1">
        <f t="shared" ca="1" si="12"/>
        <v>-8.846603459924407E-2</v>
      </c>
      <c r="F162" s="5">
        <f t="shared" ca="1" si="13"/>
        <v>0.89683690721039899</v>
      </c>
    </row>
    <row r="163" spans="2:6" x14ac:dyDescent="0.45">
      <c r="B163" s="5">
        <v>155</v>
      </c>
      <c r="C163" s="9"/>
      <c r="D163" s="9"/>
      <c r="E163" s="1">
        <f t="shared" ca="1" si="12"/>
        <v>0.91629595627642346</v>
      </c>
      <c r="F163" s="5">
        <f t="shared" ca="1" si="13"/>
        <v>1.1666887438494469</v>
      </c>
    </row>
    <row r="164" spans="2:6" x14ac:dyDescent="0.45">
      <c r="B164" s="5">
        <v>156</v>
      </c>
      <c r="C164" s="9"/>
      <c r="D164" s="9"/>
      <c r="E164" s="1">
        <f t="shared" ca="1" si="12"/>
        <v>1.4015400612682218</v>
      </c>
      <c r="F164" s="5">
        <f t="shared" ca="1" si="13"/>
        <v>2.9967990163406002</v>
      </c>
    </row>
    <row r="165" spans="2:6" x14ac:dyDescent="0.45">
      <c r="B165" s="5">
        <v>157</v>
      </c>
      <c r="C165" s="9"/>
      <c r="D165" s="9"/>
      <c r="E165" s="1">
        <f t="shared" ca="1" si="12"/>
        <v>0.74542182292636194</v>
      </c>
      <c r="F165" s="5">
        <f t="shared" ca="1" si="13"/>
        <v>1.6992504794893555</v>
      </c>
    </row>
    <row r="166" spans="2:6" x14ac:dyDescent="0.45">
      <c r="B166" s="5">
        <v>158</v>
      </c>
      <c r="C166" s="9"/>
      <c r="D166" s="9"/>
      <c r="E166" s="1">
        <f t="shared" ca="1" si="12"/>
        <v>0.40948580619459185</v>
      </c>
      <c r="F166" s="5">
        <f t="shared" ca="1" si="13"/>
        <v>1.0141621135949066</v>
      </c>
    </row>
    <row r="167" spans="2:6" x14ac:dyDescent="0.45">
      <c r="B167" s="5">
        <v>159</v>
      </c>
      <c r="C167" s="9"/>
      <c r="D167" s="9"/>
      <c r="E167" s="1">
        <f t="shared" ca="1" si="12"/>
        <v>2.0335154117254879</v>
      </c>
      <c r="F167" s="5">
        <f t="shared" ca="1" si="13"/>
        <v>2.0049820036385362</v>
      </c>
    </row>
    <row r="168" spans="2:6" x14ac:dyDescent="0.45">
      <c r="B168" s="5">
        <v>160</v>
      </c>
      <c r="C168" s="9"/>
      <c r="D168" s="9"/>
      <c r="E168" s="1">
        <f t="shared" ca="1" si="12"/>
        <v>1.5527920844827028</v>
      </c>
      <c r="F168" s="5">
        <f t="shared" ca="1" si="13"/>
        <v>2.2909531892498434</v>
      </c>
    </row>
    <row r="169" spans="2:6" x14ac:dyDescent="0.45">
      <c r="B169" s="5">
        <v>161</v>
      </c>
      <c r="C169" s="9"/>
      <c r="D169" s="9"/>
      <c r="E169" s="1">
        <f t="shared" ca="1" si="12"/>
        <v>1.0653105609865361</v>
      </c>
      <c r="F169" s="5">
        <f t="shared" ca="1" si="13"/>
        <v>1.6763042753886919</v>
      </c>
    </row>
    <row r="170" spans="2:6" x14ac:dyDescent="0.45">
      <c r="B170" s="5">
        <v>162</v>
      </c>
      <c r="C170" s="9"/>
      <c r="D170" s="9"/>
      <c r="E170" s="1">
        <f t="shared" ca="1" si="12"/>
        <v>-0.32141960483856691</v>
      </c>
      <c r="F170" s="5">
        <f t="shared" ca="1" si="13"/>
        <v>2.5865219816940614</v>
      </c>
    </row>
    <row r="171" spans="2:6" x14ac:dyDescent="0.45">
      <c r="B171" s="5">
        <v>163</v>
      </c>
      <c r="C171" s="9"/>
      <c r="D171" s="9"/>
      <c r="E171" s="1">
        <f t="shared" ca="1" si="12"/>
        <v>-0.50446606870302002</v>
      </c>
      <c r="F171" s="5">
        <f t="shared" ca="1" si="13"/>
        <v>2.1474588900093949</v>
      </c>
    </row>
    <row r="172" spans="2:6" x14ac:dyDescent="0.45">
      <c r="B172" s="5">
        <v>164</v>
      </c>
      <c r="C172" s="9"/>
      <c r="D172" s="9"/>
      <c r="E172" s="1">
        <f t="shared" ca="1" si="12"/>
        <v>-0.23967315052780047</v>
      </c>
      <c r="F172" s="5">
        <f t="shared" ca="1" si="13"/>
        <v>2.6143089639913946</v>
      </c>
    </row>
    <row r="173" spans="2:6" x14ac:dyDescent="0.45">
      <c r="B173" s="5">
        <v>165</v>
      </c>
      <c r="C173" s="9"/>
      <c r="D173" s="9"/>
      <c r="E173" s="1">
        <f t="shared" ca="1" si="12"/>
        <v>1.1790834380047048</v>
      </c>
      <c r="F173" s="5">
        <f t="shared" ca="1" si="13"/>
        <v>0.37180462027018057</v>
      </c>
    </row>
    <row r="174" spans="2:6" x14ac:dyDescent="0.45">
      <c r="B174" s="5">
        <v>166</v>
      </c>
      <c r="C174" s="9"/>
      <c r="D174" s="9"/>
      <c r="E174" s="1">
        <f t="shared" ca="1" si="12"/>
        <v>1.4477658876552351</v>
      </c>
      <c r="F174" s="5">
        <f t="shared" ca="1" si="13"/>
        <v>1.376879947445061</v>
      </c>
    </row>
    <row r="175" spans="2:6" x14ac:dyDescent="0.45">
      <c r="B175" s="5">
        <v>167</v>
      </c>
      <c r="C175" s="9"/>
      <c r="D175" s="9"/>
      <c r="E175" s="1">
        <f t="shared" ca="1" si="12"/>
        <v>0.10546595244693446</v>
      </c>
      <c r="F175" s="5">
        <f t="shared" ca="1" si="13"/>
        <v>2.7121688056501787</v>
      </c>
    </row>
    <row r="176" spans="2:6" x14ac:dyDescent="0.45">
      <c r="B176" s="5">
        <v>168</v>
      </c>
      <c r="C176" s="9"/>
      <c r="D176" s="9"/>
      <c r="E176" s="1">
        <f t="shared" ca="1" si="12"/>
        <v>0.90111682883251076</v>
      </c>
      <c r="F176" s="5">
        <f t="shared" ca="1" si="13"/>
        <v>1.4951794749342124</v>
      </c>
    </row>
    <row r="177" spans="2:6" x14ac:dyDescent="0.45">
      <c r="B177" s="5">
        <v>169</v>
      </c>
      <c r="C177" s="9"/>
      <c r="D177" s="9"/>
      <c r="E177" s="1">
        <f t="shared" ca="1" si="12"/>
        <v>1.3264527491683873</v>
      </c>
      <c r="F177" s="5">
        <f t="shared" ca="1" si="13"/>
        <v>0.86170616745112072</v>
      </c>
    </row>
    <row r="178" spans="2:6" x14ac:dyDescent="0.45">
      <c r="B178" s="5">
        <v>170</v>
      </c>
      <c r="C178" s="9"/>
      <c r="D178" s="9"/>
      <c r="E178" s="1">
        <f t="shared" ca="1" si="12"/>
        <v>1.2803923565811479</v>
      </c>
      <c r="F178" s="5">
        <f t="shared" ca="1" si="13"/>
        <v>2.7635670073607126</v>
      </c>
    </row>
    <row r="179" spans="2:6" x14ac:dyDescent="0.45">
      <c r="B179" s="5">
        <v>171</v>
      </c>
      <c r="C179" s="9"/>
      <c r="D179" s="9"/>
      <c r="E179" s="1">
        <f t="shared" ca="1" si="12"/>
        <v>0.79237238147000866</v>
      </c>
      <c r="F179" s="5">
        <f t="shared" ca="1" si="13"/>
        <v>2.4902339865823344</v>
      </c>
    </row>
    <row r="180" spans="2:6" x14ac:dyDescent="0.45">
      <c r="B180" s="5">
        <v>172</v>
      </c>
      <c r="C180" s="9"/>
      <c r="D180" s="9"/>
      <c r="E180" s="1">
        <f t="shared" ca="1" si="12"/>
        <v>1.0809331935341955</v>
      </c>
      <c r="F180" s="5">
        <f t="shared" ca="1" si="13"/>
        <v>1.7607381464285374</v>
      </c>
    </row>
    <row r="181" spans="2:6" x14ac:dyDescent="0.45">
      <c r="B181" s="5">
        <v>173</v>
      </c>
      <c r="C181" s="9"/>
      <c r="D181" s="9"/>
      <c r="E181" s="1">
        <f t="shared" ca="1" si="12"/>
        <v>-0.40070354601320957</v>
      </c>
      <c r="F181" s="5">
        <f t="shared" ca="1" si="13"/>
        <v>1.0149034477824761</v>
      </c>
    </row>
    <row r="182" spans="2:6" x14ac:dyDescent="0.45">
      <c r="B182" s="5">
        <v>174</v>
      </c>
      <c r="C182" s="9"/>
      <c r="D182" s="9"/>
      <c r="E182" s="1">
        <f t="shared" ca="1" si="12"/>
        <v>-0.11198698668237883</v>
      </c>
      <c r="F182" s="5">
        <f t="shared" ca="1" si="13"/>
        <v>0.63684901416061601</v>
      </c>
    </row>
    <row r="183" spans="2:6" x14ac:dyDescent="0.45">
      <c r="B183" s="5">
        <v>175</v>
      </c>
      <c r="C183" s="9"/>
      <c r="D183" s="9"/>
      <c r="E183" s="1">
        <f t="shared" ca="1" si="12"/>
        <v>-0.38389455142182505</v>
      </c>
      <c r="F183" s="5">
        <f t="shared" ca="1" si="13"/>
        <v>1.0995914450335702</v>
      </c>
    </row>
    <row r="184" spans="2:6" x14ac:dyDescent="0.45">
      <c r="B184" s="5">
        <v>176</v>
      </c>
      <c r="C184" s="9"/>
      <c r="D184" s="9"/>
      <c r="E184" s="1">
        <f t="shared" ca="1" si="12"/>
        <v>2.2675494726039496</v>
      </c>
      <c r="F184" s="5">
        <f t="shared" ca="1" si="13"/>
        <v>1.2070185206286586</v>
      </c>
    </row>
    <row r="185" spans="2:6" x14ac:dyDescent="0.45">
      <c r="B185" s="5">
        <v>177</v>
      </c>
      <c r="C185" s="9"/>
      <c r="D185" s="9"/>
      <c r="E185" s="1">
        <f t="shared" ca="1" si="12"/>
        <v>1.5314699313788118</v>
      </c>
      <c r="F185" s="5">
        <f t="shared" ca="1" si="13"/>
        <v>1.9422420111644914</v>
      </c>
    </row>
    <row r="186" spans="2:6" x14ac:dyDescent="0.45">
      <c r="B186" s="5">
        <v>178</v>
      </c>
      <c r="C186" s="9"/>
      <c r="D186" s="9"/>
      <c r="E186" s="1">
        <f t="shared" ca="1" si="12"/>
        <v>-0.29607410882128726</v>
      </c>
      <c r="F186" s="5">
        <f t="shared" ca="1" si="13"/>
        <v>1.4474205968784561</v>
      </c>
    </row>
    <row r="187" spans="2:6" x14ac:dyDescent="0.45">
      <c r="B187" s="5">
        <v>179</v>
      </c>
      <c r="C187" s="9"/>
      <c r="D187" s="9"/>
      <c r="E187" s="1">
        <f t="shared" ca="1" si="12"/>
        <v>1.155695005906149</v>
      </c>
      <c r="F187" s="5">
        <f t="shared" ca="1" si="13"/>
        <v>1.5279798030137339</v>
      </c>
    </row>
    <row r="188" spans="2:6" x14ac:dyDescent="0.45">
      <c r="B188" s="5">
        <v>180</v>
      </c>
      <c r="C188" s="9"/>
      <c r="D188" s="9"/>
      <c r="E188" s="1">
        <f t="shared" ca="1" si="12"/>
        <v>1.9169669429737957</v>
      </c>
      <c r="F188" s="5">
        <f t="shared" ca="1" si="13"/>
        <v>1.5795948614250912</v>
      </c>
    </row>
    <row r="189" spans="2:6" x14ac:dyDescent="0.45">
      <c r="B189" s="5">
        <v>181</v>
      </c>
      <c r="C189" s="9"/>
      <c r="D189" s="9"/>
      <c r="E189" s="1">
        <f t="shared" ca="1" si="12"/>
        <v>0.24687694485566025</v>
      </c>
      <c r="F189" s="5">
        <f t="shared" ca="1" si="13"/>
        <v>2.490635811291054</v>
      </c>
    </row>
    <row r="190" spans="2:6" x14ac:dyDescent="0.45">
      <c r="B190" s="5">
        <v>182</v>
      </c>
      <c r="C190" s="9"/>
      <c r="D190" s="9"/>
      <c r="E190" s="1">
        <f t="shared" ca="1" si="12"/>
        <v>0.23958029698730587</v>
      </c>
      <c r="F190" s="5">
        <f t="shared" ca="1" si="13"/>
        <v>1.9313316049013685</v>
      </c>
    </row>
    <row r="191" spans="2:6" x14ac:dyDescent="0.45">
      <c r="B191" s="5">
        <v>183</v>
      </c>
      <c r="C191" s="9"/>
      <c r="D191" s="9"/>
      <c r="E191" s="1">
        <f t="shared" ca="1" si="12"/>
        <v>1.0156226325476596</v>
      </c>
      <c r="F191" s="5">
        <f t="shared" ca="1" si="13"/>
        <v>1.8164846786087228</v>
      </c>
    </row>
    <row r="192" spans="2:6" x14ac:dyDescent="0.45">
      <c r="B192" s="5">
        <v>184</v>
      </c>
      <c r="C192" s="9"/>
      <c r="D192" s="9"/>
      <c r="E192" s="1">
        <f t="shared" ca="1" si="12"/>
        <v>0.92071605882535734</v>
      </c>
      <c r="F192" s="5">
        <f t="shared" ca="1" si="13"/>
        <v>0.16043227365729162</v>
      </c>
    </row>
    <row r="193" spans="2:6" x14ac:dyDescent="0.45">
      <c r="B193" s="5">
        <v>185</v>
      </c>
      <c r="C193" s="9"/>
      <c r="D193" s="9"/>
      <c r="E193" s="1">
        <f t="shared" ca="1" si="12"/>
        <v>1.3924790820206412</v>
      </c>
      <c r="F193" s="5">
        <f t="shared" ca="1" si="13"/>
        <v>0.22144093172009804</v>
      </c>
    </row>
    <row r="194" spans="2:6" x14ac:dyDescent="0.45">
      <c r="B194" s="5">
        <v>186</v>
      </c>
      <c r="C194" s="9"/>
      <c r="D194" s="9"/>
      <c r="E194" s="1">
        <f t="shared" ca="1" si="12"/>
        <v>0.85577859910597531</v>
      </c>
      <c r="F194" s="5">
        <f t="shared" ca="1" si="13"/>
        <v>0.21733328861105305</v>
      </c>
    </row>
    <row r="195" spans="2:6" x14ac:dyDescent="0.45">
      <c r="B195" s="5">
        <v>187</v>
      </c>
      <c r="C195" s="9"/>
      <c r="D195" s="9"/>
      <c r="E195" s="1">
        <f t="shared" ca="1" si="12"/>
        <v>2.0884660345992447</v>
      </c>
      <c r="F195" s="5">
        <f t="shared" ca="1" si="13"/>
        <v>2.5672647079273556</v>
      </c>
    </row>
    <row r="196" spans="2:6" x14ac:dyDescent="0.45">
      <c r="B196" s="5">
        <v>188</v>
      </c>
      <c r="C196" s="9"/>
      <c r="D196" s="9"/>
      <c r="E196" s="1">
        <f t="shared" ca="1" si="12"/>
        <v>1.0837040437235772</v>
      </c>
      <c r="F196" s="5">
        <f t="shared" ca="1" si="13"/>
        <v>2.2974128712883077</v>
      </c>
    </row>
    <row r="197" spans="2:6" x14ac:dyDescent="0.45">
      <c r="B197" s="5">
        <v>189</v>
      </c>
      <c r="C197" s="9"/>
      <c r="D197" s="9"/>
      <c r="E197" s="1">
        <f t="shared" ca="1" si="12"/>
        <v>0.59845993873177816</v>
      </c>
      <c r="F197" s="5">
        <f t="shared" ca="1" si="13"/>
        <v>0.46730259879715486</v>
      </c>
    </row>
    <row r="198" spans="2:6" x14ac:dyDescent="0.45">
      <c r="B198" s="5">
        <v>190</v>
      </c>
      <c r="C198" s="9"/>
      <c r="D198" s="9"/>
      <c r="E198" s="1">
        <f t="shared" ca="1" si="12"/>
        <v>1.2545781770736384</v>
      </c>
      <c r="F198" s="5">
        <f t="shared" ca="1" si="13"/>
        <v>1.7648511356483987</v>
      </c>
    </row>
    <row r="199" spans="2:6" x14ac:dyDescent="0.45">
      <c r="B199" s="5">
        <v>191</v>
      </c>
      <c r="C199" s="9"/>
      <c r="D199" s="9"/>
      <c r="E199" s="1">
        <f t="shared" ca="1" si="12"/>
        <v>1.5905141938054088</v>
      </c>
      <c r="F199" s="5">
        <f t="shared" ca="1" si="13"/>
        <v>2.4499395015428478</v>
      </c>
    </row>
    <row r="200" spans="2:6" x14ac:dyDescent="0.45">
      <c r="B200" s="5">
        <v>192</v>
      </c>
      <c r="C200" s="9"/>
      <c r="D200" s="9"/>
      <c r="E200" s="1">
        <f t="shared" ca="1" si="12"/>
        <v>-3.3515411725487665E-2</v>
      </c>
      <c r="F200" s="5">
        <f t="shared" ca="1" si="13"/>
        <v>1.4591196114992186</v>
      </c>
    </row>
    <row r="201" spans="2:6" x14ac:dyDescent="0.45">
      <c r="B201" s="5">
        <v>193</v>
      </c>
      <c r="C201" s="9"/>
      <c r="D201" s="9"/>
      <c r="E201" s="1">
        <f t="shared" ca="1" si="12"/>
        <v>0.44720791551729722</v>
      </c>
      <c r="F201" s="5">
        <f t="shared" ca="1" si="13"/>
        <v>1.1731484258879115</v>
      </c>
    </row>
    <row r="202" spans="2:6" x14ac:dyDescent="0.45">
      <c r="B202" s="5">
        <v>194</v>
      </c>
      <c r="C202" s="9"/>
      <c r="D202" s="9"/>
      <c r="E202" s="1">
        <f t="shared" ca="1" si="12"/>
        <v>0.93468943901346435</v>
      </c>
      <c r="F202" s="5">
        <f t="shared" ca="1" si="13"/>
        <v>1.7877973397490625</v>
      </c>
    </row>
    <row r="203" spans="2:6" x14ac:dyDescent="0.45">
      <c r="B203" s="5">
        <v>195</v>
      </c>
      <c r="C203" s="9"/>
      <c r="D203" s="9"/>
      <c r="E203" s="1">
        <f t="shared" ca="1" si="12"/>
        <v>2.3214196048385674</v>
      </c>
      <c r="F203" s="5">
        <f t="shared" ca="1" si="13"/>
        <v>0.87757963344369239</v>
      </c>
    </row>
    <row r="204" spans="2:6" x14ac:dyDescent="0.45">
      <c r="B204" s="5">
        <v>196</v>
      </c>
      <c r="C204" s="9"/>
      <c r="D204" s="9"/>
      <c r="E204" s="1">
        <f t="shared" ca="1" si="12"/>
        <v>2.5044660687030205</v>
      </c>
      <c r="F204" s="5">
        <f t="shared" ca="1" si="13"/>
        <v>1.316642725128359</v>
      </c>
    </row>
    <row r="205" spans="2:6" x14ac:dyDescent="0.45">
      <c r="B205" s="5">
        <v>197</v>
      </c>
      <c r="C205" s="9"/>
      <c r="D205" s="9"/>
      <c r="E205" s="1">
        <f t="shared" ca="1" si="12"/>
        <v>2.2396731505278007</v>
      </c>
      <c r="F205" s="5">
        <f t="shared" ca="1" si="13"/>
        <v>0.8497926511463596</v>
      </c>
    </row>
    <row r="206" spans="2:6" x14ac:dyDescent="0.45">
      <c r="B206" s="5">
        <v>198</v>
      </c>
      <c r="C206" s="9"/>
      <c r="D206" s="9"/>
      <c r="E206" s="1">
        <f t="shared" ref="E206" ca="1" si="14">E73+2*COS(2*PI()/6)</f>
        <v>0.82091656199529572</v>
      </c>
      <c r="F206" s="5">
        <f t="shared" ref="F206" ca="1" si="15">F73+2*SIN(2*PI()/6)</f>
        <v>3.0922969948675743</v>
      </c>
    </row>
    <row r="207" spans="2:6" x14ac:dyDescent="0.45">
      <c r="B207" s="5">
        <v>199</v>
      </c>
      <c r="C207" s="9">
        <f>198+66</f>
        <v>264</v>
      </c>
      <c r="D207" s="9"/>
      <c r="E207" s="1">
        <f ca="1">E8+2*COS(4*PI()/6)</f>
        <v>-1.4477658876552344</v>
      </c>
      <c r="F207" s="5">
        <f ca="1">F8+2*SIN(4*PI()/6)</f>
        <v>2.0872216676926931</v>
      </c>
    </row>
    <row r="208" spans="2:6" x14ac:dyDescent="0.45">
      <c r="B208" s="5">
        <v>200</v>
      </c>
      <c r="C208" s="9"/>
      <c r="D208" s="9"/>
      <c r="E208" s="1">
        <f t="shared" ref="E208:E270" ca="1" si="16">E9+2*COS(4*PI()/6)</f>
        <v>-0.10546595244693335</v>
      </c>
      <c r="F208" s="5">
        <f t="shared" ref="F208:F270" ca="1" si="17">F9+2*SIN(4*PI()/6)</f>
        <v>0.75193280948757635</v>
      </c>
    </row>
    <row r="209" spans="2:6" x14ac:dyDescent="0.45">
      <c r="B209" s="5">
        <v>201</v>
      </c>
      <c r="C209" s="9"/>
      <c r="D209" s="9"/>
      <c r="E209" s="1">
        <f t="shared" ca="1" si="16"/>
        <v>-0.90111682883251021</v>
      </c>
      <c r="F209" s="5">
        <f t="shared" ca="1" si="17"/>
        <v>1.9689221402035422</v>
      </c>
    </row>
    <row r="210" spans="2:6" x14ac:dyDescent="0.45">
      <c r="B210" s="5">
        <v>202</v>
      </c>
      <c r="C210" s="9"/>
      <c r="D210" s="9"/>
      <c r="E210" s="1">
        <f t="shared" ca="1" si="16"/>
        <v>-1.3264527491683868</v>
      </c>
      <c r="F210" s="5">
        <f t="shared" ca="1" si="17"/>
        <v>2.6023954476866336</v>
      </c>
    </row>
    <row r="211" spans="2:6" x14ac:dyDescent="0.45">
      <c r="B211" s="5">
        <v>203</v>
      </c>
      <c r="C211" s="9"/>
      <c r="D211" s="9"/>
      <c r="E211" s="1">
        <f t="shared" ca="1" si="16"/>
        <v>-1.2803923565811468</v>
      </c>
      <c r="F211" s="5">
        <f t="shared" ca="1" si="17"/>
        <v>0.70053460777704202</v>
      </c>
    </row>
    <row r="212" spans="2:6" x14ac:dyDescent="0.45">
      <c r="B212" s="5">
        <v>204</v>
      </c>
      <c r="C212" s="9"/>
      <c r="D212" s="9"/>
      <c r="E212" s="1">
        <f t="shared" ca="1" si="16"/>
        <v>-0.79237238147000766</v>
      </c>
      <c r="F212" s="5">
        <f t="shared" ca="1" si="17"/>
        <v>0.97386762855542042</v>
      </c>
    </row>
    <row r="213" spans="2:6" x14ac:dyDescent="0.45">
      <c r="B213" s="5">
        <v>205</v>
      </c>
      <c r="C213" s="9"/>
      <c r="D213" s="9"/>
      <c r="E213" s="1">
        <f t="shared" ca="1" si="16"/>
        <v>-1.0809331935341948</v>
      </c>
      <c r="F213" s="5">
        <f t="shared" ca="1" si="17"/>
        <v>1.7033634687092172</v>
      </c>
    </row>
    <row r="214" spans="2:6" x14ac:dyDescent="0.45">
      <c r="B214" s="5">
        <v>206</v>
      </c>
      <c r="C214" s="9"/>
      <c r="D214" s="9"/>
      <c r="E214" s="1">
        <f t="shared" ca="1" si="16"/>
        <v>0.40070354601321001</v>
      </c>
      <c r="F214" s="5">
        <f t="shared" ca="1" si="17"/>
        <v>2.449198167355279</v>
      </c>
    </row>
    <row r="215" spans="2:6" x14ac:dyDescent="0.45">
      <c r="B215" s="5">
        <v>207</v>
      </c>
      <c r="C215" s="9"/>
      <c r="D215" s="9"/>
      <c r="E215" s="1">
        <f t="shared" ca="1" si="16"/>
        <v>0.11198698668237905</v>
      </c>
      <c r="F215" s="5">
        <f t="shared" ca="1" si="17"/>
        <v>2.8272526009771388</v>
      </c>
    </row>
    <row r="216" spans="2:6" x14ac:dyDescent="0.45">
      <c r="B216" s="5">
        <v>208</v>
      </c>
      <c r="C216" s="9"/>
      <c r="D216" s="9"/>
      <c r="E216" s="1">
        <f t="shared" ca="1" si="16"/>
        <v>0.38389455142182549</v>
      </c>
      <c r="F216" s="5">
        <f t="shared" ca="1" si="17"/>
        <v>2.3645101701041851</v>
      </c>
    </row>
    <row r="217" spans="2:6" x14ac:dyDescent="0.45">
      <c r="B217" s="5">
        <v>209</v>
      </c>
      <c r="C217" s="9"/>
      <c r="D217" s="9"/>
      <c r="E217" s="1">
        <f t="shared" ca="1" si="16"/>
        <v>-2.2675494726039487</v>
      </c>
      <c r="F217" s="5">
        <f t="shared" ca="1" si="17"/>
        <v>2.2570830945090954</v>
      </c>
    </row>
    <row r="218" spans="2:6" x14ac:dyDescent="0.45">
      <c r="B218" s="5">
        <v>210</v>
      </c>
      <c r="C218" s="9"/>
      <c r="D218" s="9"/>
      <c r="E218" s="1">
        <f t="shared" ca="1" si="16"/>
        <v>-1.5314699313788109</v>
      </c>
      <c r="F218" s="5">
        <f t="shared" ca="1" si="17"/>
        <v>1.521859603973263</v>
      </c>
    </row>
    <row r="219" spans="2:6" x14ac:dyDescent="0.45">
      <c r="B219" s="5">
        <v>211</v>
      </c>
      <c r="C219" s="9"/>
      <c r="D219" s="9"/>
      <c r="E219" s="1">
        <f t="shared" ca="1" si="16"/>
        <v>0.29607410882128793</v>
      </c>
      <c r="F219" s="5">
        <f t="shared" ca="1" si="17"/>
        <v>2.0166810182592991</v>
      </c>
    </row>
    <row r="220" spans="2:6" x14ac:dyDescent="0.45">
      <c r="B220" s="5">
        <v>212</v>
      </c>
      <c r="C220" s="9"/>
      <c r="D220" s="9"/>
      <c r="E220" s="1">
        <f t="shared" ca="1" si="16"/>
        <v>-1.1556950059061486</v>
      </c>
      <c r="F220" s="5">
        <f t="shared" ca="1" si="17"/>
        <v>1.9361218121240205</v>
      </c>
    </row>
    <row r="221" spans="2:6" x14ac:dyDescent="0.45">
      <c r="B221" s="5">
        <v>213</v>
      </c>
      <c r="C221" s="9"/>
      <c r="D221" s="9"/>
      <c r="E221" s="1">
        <f t="shared" ca="1" si="16"/>
        <v>-1.916966942973795</v>
      </c>
      <c r="F221" s="5">
        <f t="shared" ca="1" si="17"/>
        <v>1.884506753712663</v>
      </c>
    </row>
    <row r="222" spans="2:6" x14ac:dyDescent="0.45">
      <c r="B222" s="5">
        <v>214</v>
      </c>
      <c r="C222" s="9"/>
      <c r="D222" s="9"/>
      <c r="E222" s="1">
        <f t="shared" ca="1" si="16"/>
        <v>-0.24687694485565936</v>
      </c>
      <c r="F222" s="5">
        <f t="shared" ca="1" si="17"/>
        <v>0.97346580384670123</v>
      </c>
    </row>
    <row r="223" spans="2:6" x14ac:dyDescent="0.45">
      <c r="B223" s="5">
        <v>215</v>
      </c>
      <c r="C223" s="9"/>
      <c r="D223" s="9"/>
      <c r="E223" s="1">
        <f t="shared" ca="1" si="16"/>
        <v>-0.23958029698730521</v>
      </c>
      <c r="F223" s="5">
        <f t="shared" ca="1" si="17"/>
        <v>1.5327700102363864</v>
      </c>
    </row>
    <row r="224" spans="2:6" x14ac:dyDescent="0.45">
      <c r="B224" s="5">
        <v>216</v>
      </c>
      <c r="C224" s="9"/>
      <c r="D224" s="9"/>
      <c r="E224" s="1">
        <f t="shared" ca="1" si="16"/>
        <v>-1.0156226325476589</v>
      </c>
      <c r="F224" s="5">
        <f t="shared" ca="1" si="17"/>
        <v>1.6476169365290319</v>
      </c>
    </row>
    <row r="225" spans="2:6" x14ac:dyDescent="0.45">
      <c r="B225" s="5">
        <v>217</v>
      </c>
      <c r="C225" s="9"/>
      <c r="D225" s="9"/>
      <c r="E225" s="1">
        <f t="shared" ca="1" si="16"/>
        <v>-0.92071605882535701</v>
      </c>
      <c r="F225" s="5">
        <f t="shared" ca="1" si="17"/>
        <v>3.3036693414804628</v>
      </c>
    </row>
    <row r="226" spans="2:6" x14ac:dyDescent="0.45">
      <c r="B226" s="5">
        <v>218</v>
      </c>
      <c r="C226" s="9"/>
      <c r="D226" s="9"/>
      <c r="E226" s="1">
        <f t="shared" ca="1" si="16"/>
        <v>-1.3924790820206412</v>
      </c>
      <c r="F226" s="5">
        <f t="shared" ca="1" si="17"/>
        <v>3.2426606834176566</v>
      </c>
    </row>
    <row r="227" spans="2:6" x14ac:dyDescent="0.45">
      <c r="B227" s="5">
        <v>219</v>
      </c>
      <c r="C227" s="9"/>
      <c r="D227" s="9"/>
      <c r="E227" s="1">
        <f t="shared" ca="1" si="16"/>
        <v>-0.85577859910597531</v>
      </c>
      <c r="F227" s="5">
        <f t="shared" ca="1" si="17"/>
        <v>3.246768326526702</v>
      </c>
    </row>
    <row r="228" spans="2:6" x14ac:dyDescent="0.45">
      <c r="B228" s="5">
        <v>220</v>
      </c>
      <c r="C228" s="9"/>
      <c r="D228" s="9"/>
      <c r="E228" s="1">
        <f t="shared" ca="1" si="16"/>
        <v>-2.0884660345992438</v>
      </c>
      <c r="F228" s="5">
        <f t="shared" ca="1" si="17"/>
        <v>0.89683690721039921</v>
      </c>
    </row>
    <row r="229" spans="2:6" x14ac:dyDescent="0.45">
      <c r="B229" s="5">
        <v>221</v>
      </c>
      <c r="C229" s="9"/>
      <c r="D229" s="9"/>
      <c r="E229" s="1">
        <f t="shared" ca="1" si="16"/>
        <v>-1.0837040437235763</v>
      </c>
      <c r="F229" s="5">
        <f t="shared" ca="1" si="17"/>
        <v>1.1666887438494471</v>
      </c>
    </row>
    <row r="230" spans="2:6" x14ac:dyDescent="0.45">
      <c r="B230" s="5">
        <v>222</v>
      </c>
      <c r="C230" s="9"/>
      <c r="D230" s="9"/>
      <c r="E230" s="1">
        <f t="shared" ca="1" si="16"/>
        <v>-0.59845993873177794</v>
      </c>
      <c r="F230" s="5">
        <f t="shared" ca="1" si="17"/>
        <v>2.9967990163406002</v>
      </c>
    </row>
    <row r="231" spans="2:6" x14ac:dyDescent="0.45">
      <c r="B231" s="5">
        <v>223</v>
      </c>
      <c r="C231" s="9"/>
      <c r="D231" s="9"/>
      <c r="E231" s="1">
        <f t="shared" ca="1" si="16"/>
        <v>-1.2545781770736379</v>
      </c>
      <c r="F231" s="5">
        <f t="shared" ca="1" si="17"/>
        <v>1.6992504794893559</v>
      </c>
    </row>
    <row r="232" spans="2:6" x14ac:dyDescent="0.45">
      <c r="B232" s="5">
        <v>224</v>
      </c>
      <c r="C232" s="9"/>
      <c r="D232" s="9"/>
      <c r="E232" s="1">
        <f t="shared" ca="1" si="16"/>
        <v>-1.5905141938054079</v>
      </c>
      <c r="F232" s="5">
        <f t="shared" ca="1" si="17"/>
        <v>1.0141621135949066</v>
      </c>
    </row>
    <row r="233" spans="2:6" x14ac:dyDescent="0.45">
      <c r="B233" s="5">
        <v>225</v>
      </c>
      <c r="C233" s="9"/>
      <c r="D233" s="9"/>
      <c r="E233" s="1">
        <f t="shared" ca="1" si="16"/>
        <v>3.3515411725488109E-2</v>
      </c>
      <c r="F233" s="5">
        <f t="shared" ca="1" si="17"/>
        <v>2.0049820036385366</v>
      </c>
    </row>
    <row r="234" spans="2:6" x14ac:dyDescent="0.45">
      <c r="B234" s="5">
        <v>226</v>
      </c>
      <c r="C234" s="9"/>
      <c r="D234" s="9"/>
      <c r="E234" s="1">
        <f t="shared" ca="1" si="16"/>
        <v>-0.44720791551729688</v>
      </c>
      <c r="F234" s="5">
        <f t="shared" ca="1" si="17"/>
        <v>2.2909531892498434</v>
      </c>
    </row>
    <row r="235" spans="2:6" x14ac:dyDescent="0.45">
      <c r="B235" s="5">
        <v>227</v>
      </c>
      <c r="C235" s="9"/>
      <c r="D235" s="9"/>
      <c r="E235" s="1">
        <f t="shared" ca="1" si="16"/>
        <v>-0.93468943901346369</v>
      </c>
      <c r="F235" s="5">
        <f t="shared" ca="1" si="17"/>
        <v>1.6763042753886921</v>
      </c>
    </row>
    <row r="236" spans="2:6" x14ac:dyDescent="0.45">
      <c r="B236" s="5">
        <v>228</v>
      </c>
      <c r="C236" s="9"/>
      <c r="D236" s="9"/>
      <c r="E236" s="1">
        <f t="shared" ca="1" si="16"/>
        <v>-2.3214196048385665</v>
      </c>
      <c r="F236" s="5">
        <f t="shared" ca="1" si="17"/>
        <v>2.5865219816940619</v>
      </c>
    </row>
    <row r="237" spans="2:6" x14ac:dyDescent="0.45">
      <c r="B237" s="5">
        <v>229</v>
      </c>
      <c r="C237" s="9"/>
      <c r="D237" s="9"/>
      <c r="E237" s="1">
        <f t="shared" ca="1" si="16"/>
        <v>-2.50446606870302</v>
      </c>
      <c r="F237" s="5">
        <f t="shared" ca="1" si="17"/>
        <v>2.1474588900093954</v>
      </c>
    </row>
    <row r="238" spans="2:6" x14ac:dyDescent="0.45">
      <c r="B238" s="5">
        <v>230</v>
      </c>
      <c r="C238" s="9"/>
      <c r="D238" s="9"/>
      <c r="E238" s="1">
        <f t="shared" ca="1" si="16"/>
        <v>-2.2396731505278002</v>
      </c>
      <c r="F238" s="5">
        <f t="shared" ca="1" si="17"/>
        <v>2.6143089639913946</v>
      </c>
    </row>
    <row r="239" spans="2:6" x14ac:dyDescent="0.45">
      <c r="B239" s="5">
        <v>231</v>
      </c>
      <c r="C239" s="9"/>
      <c r="D239" s="9"/>
      <c r="E239" s="1">
        <f t="shared" ca="1" si="16"/>
        <v>-0.82091656199529484</v>
      </c>
      <c r="F239" s="5">
        <f t="shared" ca="1" si="17"/>
        <v>0.3718046202701808</v>
      </c>
    </row>
    <row r="240" spans="2:6" x14ac:dyDescent="0.45">
      <c r="B240" s="5">
        <v>232</v>
      </c>
      <c r="C240" s="9"/>
      <c r="D240" s="9"/>
      <c r="E240" s="1">
        <f t="shared" ca="1" si="16"/>
        <v>-0.55223411234476472</v>
      </c>
      <c r="F240" s="5">
        <f t="shared" ca="1" si="17"/>
        <v>1.3768799474450613</v>
      </c>
    </row>
    <row r="241" spans="2:6" x14ac:dyDescent="0.45">
      <c r="B241" s="5">
        <v>233</v>
      </c>
      <c r="C241" s="9"/>
      <c r="D241" s="9"/>
      <c r="E241" s="1">
        <f t="shared" ca="1" si="16"/>
        <v>-1.8945340475530652</v>
      </c>
      <c r="F241" s="5">
        <f t="shared" ca="1" si="17"/>
        <v>2.7121688056501787</v>
      </c>
    </row>
    <row r="242" spans="2:6" x14ac:dyDescent="0.45">
      <c r="B242" s="5">
        <v>234</v>
      </c>
      <c r="C242" s="9"/>
      <c r="D242" s="9"/>
      <c r="E242" s="1">
        <f t="shared" ca="1" si="16"/>
        <v>-1.0988831711674889</v>
      </c>
      <c r="F242" s="5">
        <f t="shared" ca="1" si="17"/>
        <v>1.4951794749342127</v>
      </c>
    </row>
    <row r="243" spans="2:6" x14ac:dyDescent="0.45">
      <c r="B243" s="5">
        <v>235</v>
      </c>
      <c r="C243" s="9"/>
      <c r="D243" s="9"/>
      <c r="E243" s="1">
        <f t="shared" ca="1" si="16"/>
        <v>-0.67354725083161249</v>
      </c>
      <c r="F243" s="5">
        <f t="shared" ca="1" si="17"/>
        <v>0.86170616745112094</v>
      </c>
    </row>
    <row r="244" spans="2:6" x14ac:dyDescent="0.45">
      <c r="B244" s="5">
        <v>236</v>
      </c>
      <c r="C244" s="9"/>
      <c r="D244" s="9"/>
      <c r="E244" s="1">
        <f t="shared" ca="1" si="16"/>
        <v>-0.71960764341885186</v>
      </c>
      <c r="F244" s="5">
        <f t="shared" ca="1" si="17"/>
        <v>2.763567007360713</v>
      </c>
    </row>
    <row r="245" spans="2:6" x14ac:dyDescent="0.45">
      <c r="B245" s="5">
        <v>237</v>
      </c>
      <c r="C245" s="9"/>
      <c r="D245" s="9"/>
      <c r="E245" s="1">
        <f t="shared" ca="1" si="16"/>
        <v>-1.2076276185299912</v>
      </c>
      <c r="F245" s="5">
        <f t="shared" ca="1" si="17"/>
        <v>2.4902339865823344</v>
      </c>
    </row>
    <row r="246" spans="2:6" x14ac:dyDescent="0.45">
      <c r="B246" s="5">
        <v>238</v>
      </c>
      <c r="C246" s="9"/>
      <c r="D246" s="9"/>
      <c r="E246" s="1">
        <f t="shared" ca="1" si="16"/>
        <v>-0.91906680646580441</v>
      </c>
      <c r="F246" s="5">
        <f t="shared" ca="1" si="17"/>
        <v>1.7607381464285377</v>
      </c>
    </row>
    <row r="247" spans="2:6" x14ac:dyDescent="0.45">
      <c r="B247" s="5">
        <v>239</v>
      </c>
      <c r="C247" s="9"/>
      <c r="D247" s="9"/>
      <c r="E247" s="1">
        <f t="shared" ca="1" si="16"/>
        <v>-2.4007035460132093</v>
      </c>
      <c r="F247" s="5">
        <f t="shared" ca="1" si="17"/>
        <v>1.0149034477824763</v>
      </c>
    </row>
    <row r="248" spans="2:6" x14ac:dyDescent="0.45">
      <c r="B248" s="5">
        <v>240</v>
      </c>
      <c r="C248" s="9"/>
      <c r="D248" s="9"/>
      <c r="E248" s="1">
        <f t="shared" ca="1" si="16"/>
        <v>-2.1119869866823784</v>
      </c>
      <c r="F248" s="5">
        <f t="shared" ca="1" si="17"/>
        <v>0.63684901416061623</v>
      </c>
    </row>
    <row r="249" spans="2:6" x14ac:dyDescent="0.45">
      <c r="B249" s="5">
        <v>241</v>
      </c>
      <c r="C249" s="9"/>
      <c r="D249" s="9"/>
      <c r="E249" s="1">
        <f t="shared" ca="1" si="16"/>
        <v>-2.3838945514218248</v>
      </c>
      <c r="F249" s="5">
        <f t="shared" ca="1" si="17"/>
        <v>1.0995914450335704</v>
      </c>
    </row>
    <row r="250" spans="2:6" x14ac:dyDescent="0.45">
      <c r="B250" s="5">
        <v>242</v>
      </c>
      <c r="C250" s="9"/>
      <c r="D250" s="9"/>
      <c r="E250" s="1">
        <f t="shared" ca="1" si="16"/>
        <v>0.26754947260394979</v>
      </c>
      <c r="F250" s="5">
        <f t="shared" ca="1" si="17"/>
        <v>1.207018520628659</v>
      </c>
    </row>
    <row r="251" spans="2:6" x14ac:dyDescent="0.45">
      <c r="B251" s="5">
        <v>243</v>
      </c>
      <c r="C251" s="9"/>
      <c r="D251" s="9"/>
      <c r="E251" s="1">
        <f t="shared" ca="1" si="16"/>
        <v>-0.46853006862118796</v>
      </c>
      <c r="F251" s="5">
        <f t="shared" ca="1" si="17"/>
        <v>1.9422420111644916</v>
      </c>
    </row>
    <row r="252" spans="2:6" x14ac:dyDescent="0.45">
      <c r="B252" s="5">
        <v>244</v>
      </c>
      <c r="C252" s="9"/>
      <c r="D252" s="9"/>
      <c r="E252" s="1">
        <f t="shared" ca="1" si="16"/>
        <v>-2.296074108821287</v>
      </c>
      <c r="F252" s="5">
        <f t="shared" ca="1" si="17"/>
        <v>1.4474205968784561</v>
      </c>
    </row>
    <row r="253" spans="2:6" x14ac:dyDescent="0.45">
      <c r="B253" s="5">
        <v>245</v>
      </c>
      <c r="C253" s="9"/>
      <c r="D253" s="9"/>
      <c r="E253" s="1">
        <f t="shared" ca="1" si="16"/>
        <v>-0.84430499409385074</v>
      </c>
      <c r="F253" s="5">
        <f t="shared" ca="1" si="17"/>
        <v>1.5279798030137344</v>
      </c>
    </row>
    <row r="254" spans="2:6" x14ac:dyDescent="0.45">
      <c r="B254" s="5">
        <v>246</v>
      </c>
      <c r="C254" s="9"/>
      <c r="D254" s="9"/>
      <c r="E254" s="1">
        <f t="shared" ca="1" si="16"/>
        <v>-8.3033057026204116E-2</v>
      </c>
      <c r="F254" s="5">
        <f t="shared" ca="1" si="17"/>
        <v>1.5795948614250914</v>
      </c>
    </row>
    <row r="255" spans="2:6" x14ac:dyDescent="0.45">
      <c r="B255" s="5">
        <v>247</v>
      </c>
      <c r="C255" s="9"/>
      <c r="D255" s="9"/>
      <c r="E255" s="1">
        <f t="shared" ca="1" si="16"/>
        <v>-1.7531230551443395</v>
      </c>
      <c r="F255" s="5">
        <f t="shared" ca="1" si="17"/>
        <v>2.490635811291054</v>
      </c>
    </row>
    <row r="256" spans="2:6" x14ac:dyDescent="0.45">
      <c r="B256" s="5">
        <v>248</v>
      </c>
      <c r="C256" s="9"/>
      <c r="D256" s="9"/>
      <c r="E256" s="1">
        <f t="shared" ca="1" si="16"/>
        <v>-1.760419703012694</v>
      </c>
      <c r="F256" s="5">
        <f t="shared" ca="1" si="17"/>
        <v>1.9313316049013687</v>
      </c>
    </row>
    <row r="257" spans="2:6" x14ac:dyDescent="0.45">
      <c r="B257" s="5">
        <v>249</v>
      </c>
      <c r="C257" s="9"/>
      <c r="D257" s="9"/>
      <c r="E257" s="1">
        <f t="shared" ca="1" si="16"/>
        <v>-0.98437736745234017</v>
      </c>
      <c r="F257" s="5">
        <f t="shared" ca="1" si="17"/>
        <v>1.816484678608723</v>
      </c>
    </row>
    <row r="258" spans="2:6" x14ac:dyDescent="0.45">
      <c r="B258" s="5">
        <v>250</v>
      </c>
      <c r="C258" s="9"/>
      <c r="D258" s="9"/>
      <c r="E258" s="1">
        <f t="shared" ca="1" si="16"/>
        <v>-1.0792839411746424</v>
      </c>
      <c r="F258" s="5">
        <f t="shared" ca="1" si="17"/>
        <v>0.16043227365729185</v>
      </c>
    </row>
    <row r="259" spans="2:6" x14ac:dyDescent="0.45">
      <c r="B259" s="5">
        <v>251</v>
      </c>
      <c r="C259" s="9"/>
      <c r="D259" s="9"/>
      <c r="E259" s="1">
        <f t="shared" ca="1" si="16"/>
        <v>-0.60752091797935848</v>
      </c>
      <c r="F259" s="5">
        <f t="shared" ca="1" si="17"/>
        <v>0.22144093172009827</v>
      </c>
    </row>
    <row r="260" spans="2:6" x14ac:dyDescent="0.45">
      <c r="B260" s="5">
        <v>252</v>
      </c>
      <c r="C260" s="9"/>
      <c r="D260" s="9"/>
      <c r="E260" s="1">
        <f t="shared" ca="1" si="16"/>
        <v>-1.1442214008940246</v>
      </c>
      <c r="F260" s="5">
        <f t="shared" ca="1" si="17"/>
        <v>0.21733328861105328</v>
      </c>
    </row>
    <row r="261" spans="2:6" x14ac:dyDescent="0.45">
      <c r="B261" s="5">
        <v>253</v>
      </c>
      <c r="C261" s="9"/>
      <c r="D261" s="9"/>
      <c r="E261" s="1">
        <f t="shared" ca="1" si="16"/>
        <v>8.846603459924518E-2</v>
      </c>
      <c r="F261" s="5">
        <f t="shared" ca="1" si="17"/>
        <v>2.5672647079273556</v>
      </c>
    </row>
    <row r="262" spans="2:6" x14ac:dyDescent="0.45">
      <c r="B262" s="5">
        <v>254</v>
      </c>
      <c r="C262" s="9"/>
      <c r="D262" s="9"/>
      <c r="E262" s="1">
        <f t="shared" ca="1" si="16"/>
        <v>-0.91629595627642269</v>
      </c>
      <c r="F262" s="5">
        <f t="shared" ca="1" si="17"/>
        <v>2.2974128712883077</v>
      </c>
    </row>
    <row r="263" spans="2:6" x14ac:dyDescent="0.45">
      <c r="B263" s="5">
        <v>255</v>
      </c>
      <c r="C263" s="9"/>
      <c r="D263" s="9"/>
      <c r="E263" s="1">
        <f t="shared" ca="1" si="16"/>
        <v>-1.4015400612682216</v>
      </c>
      <c r="F263" s="5">
        <f t="shared" ca="1" si="17"/>
        <v>0.46730259879715508</v>
      </c>
    </row>
    <row r="264" spans="2:6" x14ac:dyDescent="0.45">
      <c r="B264" s="5">
        <v>256</v>
      </c>
      <c r="C264" s="9"/>
      <c r="D264" s="9"/>
      <c r="E264" s="1">
        <f t="shared" ca="1" si="16"/>
        <v>-0.74542182292636128</v>
      </c>
      <c r="F264" s="5">
        <f t="shared" ca="1" si="17"/>
        <v>1.7648511356483989</v>
      </c>
    </row>
    <row r="265" spans="2:6" x14ac:dyDescent="0.45">
      <c r="B265" s="5">
        <v>257</v>
      </c>
      <c r="C265" s="9"/>
      <c r="D265" s="9"/>
      <c r="E265" s="1">
        <f t="shared" ca="1" si="16"/>
        <v>-0.40948580619459085</v>
      </c>
      <c r="F265" s="5">
        <f t="shared" ca="1" si="17"/>
        <v>2.4499395015428478</v>
      </c>
    </row>
    <row r="266" spans="2:6" x14ac:dyDescent="0.45">
      <c r="B266" s="5">
        <v>258</v>
      </c>
      <c r="C266" s="9"/>
      <c r="D266" s="9"/>
      <c r="E266" s="1">
        <f t="shared" ca="1" si="16"/>
        <v>-2.0335154117254874</v>
      </c>
      <c r="F266" s="5">
        <f t="shared" ca="1" si="17"/>
        <v>1.4591196114992186</v>
      </c>
    </row>
    <row r="267" spans="2:6" x14ac:dyDescent="0.45">
      <c r="B267" s="5">
        <v>259</v>
      </c>
      <c r="C267" s="9"/>
      <c r="D267" s="9"/>
      <c r="E267" s="1">
        <f t="shared" ca="1" si="16"/>
        <v>-1.5527920844827026</v>
      </c>
      <c r="F267" s="5">
        <f t="shared" ca="1" si="17"/>
        <v>1.1731484258879117</v>
      </c>
    </row>
    <row r="268" spans="2:6" x14ac:dyDescent="0.45">
      <c r="B268" s="5">
        <v>260</v>
      </c>
      <c r="C268" s="9"/>
      <c r="D268" s="9"/>
      <c r="E268" s="1">
        <f t="shared" ca="1" si="16"/>
        <v>-1.0653105609865354</v>
      </c>
      <c r="F268" s="5">
        <f t="shared" ca="1" si="17"/>
        <v>1.7877973397490627</v>
      </c>
    </row>
    <row r="269" spans="2:6" x14ac:dyDescent="0.45">
      <c r="B269" s="5">
        <v>261</v>
      </c>
      <c r="C269" s="9"/>
      <c r="D269" s="9"/>
      <c r="E269" s="1">
        <f t="shared" ca="1" si="16"/>
        <v>0.32141960483856735</v>
      </c>
      <c r="F269" s="5">
        <f t="shared" ca="1" si="17"/>
        <v>0.87757963344369261</v>
      </c>
    </row>
    <row r="270" spans="2:6" x14ac:dyDescent="0.45">
      <c r="B270" s="5">
        <v>262</v>
      </c>
      <c r="C270" s="9"/>
      <c r="D270" s="9"/>
      <c r="E270" s="1">
        <f t="shared" ca="1" si="16"/>
        <v>0.50446606870302069</v>
      </c>
      <c r="F270" s="5">
        <f t="shared" ca="1" si="17"/>
        <v>1.316642725128359</v>
      </c>
    </row>
    <row r="271" spans="2:6" x14ac:dyDescent="0.45">
      <c r="B271" s="5">
        <v>263</v>
      </c>
      <c r="C271" s="9">
        <f>262+66</f>
        <v>328</v>
      </c>
      <c r="D271" s="9"/>
      <c r="E271" s="1">
        <f ca="1">E8+2*COS(6*PI()/6)</f>
        <v>-2.4477658876552351</v>
      </c>
      <c r="F271" s="5">
        <f ca="1">F8+2*SIN(6*PI()/6)</f>
        <v>0.3551708601238161</v>
      </c>
    </row>
    <row r="272" spans="2:6" x14ac:dyDescent="0.45">
      <c r="B272" s="5">
        <v>264</v>
      </c>
      <c r="C272" s="9"/>
      <c r="D272" s="9"/>
      <c r="E272" s="1">
        <f t="shared" ref="E272:E335" ca="1" si="18">E9+2*COS(6*PI()/6)</f>
        <v>-1.1054659524469339</v>
      </c>
      <c r="F272" s="5">
        <f t="shared" ref="F272:F335" ca="1" si="19">F9+2*SIN(6*PI()/6)</f>
        <v>-0.98011799808130085</v>
      </c>
    </row>
    <row r="273" spans="2:6" x14ac:dyDescent="0.45">
      <c r="B273" s="5">
        <v>265</v>
      </c>
      <c r="C273" s="9"/>
      <c r="D273" s="9"/>
      <c r="E273" s="1">
        <f t="shared" ca="1" si="18"/>
        <v>-1.9011168288325107</v>
      </c>
      <c r="F273" s="5">
        <f t="shared" ca="1" si="19"/>
        <v>0.236871332634665</v>
      </c>
    </row>
    <row r="274" spans="2:6" x14ac:dyDescent="0.45">
      <c r="B274" s="5">
        <v>266</v>
      </c>
      <c r="C274" s="9"/>
      <c r="D274" s="9"/>
      <c r="E274" s="1">
        <f t="shared" ca="1" si="18"/>
        <v>-2.3264527491683875</v>
      </c>
      <c r="F274" s="5">
        <f t="shared" ca="1" si="19"/>
        <v>0.87034464011775647</v>
      </c>
    </row>
    <row r="275" spans="2:6" x14ac:dyDescent="0.45">
      <c r="B275" s="5">
        <v>267</v>
      </c>
      <c r="C275" s="9"/>
      <c r="D275" s="9"/>
      <c r="E275" s="1">
        <f t="shared" ca="1" si="18"/>
        <v>-2.2803923565811473</v>
      </c>
      <c r="F275" s="5">
        <f t="shared" ca="1" si="19"/>
        <v>-1.0315161997918352</v>
      </c>
    </row>
    <row r="276" spans="2:6" x14ac:dyDescent="0.45">
      <c r="B276" s="5">
        <v>268</v>
      </c>
      <c r="C276" s="9"/>
      <c r="D276" s="9"/>
      <c r="E276" s="1">
        <f t="shared" ca="1" si="18"/>
        <v>-1.7923723814700081</v>
      </c>
      <c r="F276" s="5">
        <f t="shared" ca="1" si="19"/>
        <v>-0.75818317901345678</v>
      </c>
    </row>
    <row r="277" spans="2:6" x14ac:dyDescent="0.45">
      <c r="B277" s="5">
        <v>269</v>
      </c>
      <c r="C277" s="9"/>
      <c r="D277" s="9"/>
      <c r="E277" s="1">
        <f t="shared" ca="1" si="18"/>
        <v>-2.0809331935341953</v>
      </c>
      <c r="F277" s="5">
        <f t="shared" ca="1" si="19"/>
        <v>-2.8687338859659996E-2</v>
      </c>
    </row>
    <row r="278" spans="2:6" x14ac:dyDescent="0.45">
      <c r="B278" s="5">
        <v>270</v>
      </c>
      <c r="C278" s="9"/>
      <c r="D278" s="9"/>
      <c r="E278" s="1">
        <f t="shared" ca="1" si="18"/>
        <v>-0.59929645398679043</v>
      </c>
      <c r="F278" s="5">
        <f t="shared" ca="1" si="19"/>
        <v>0.71714735978640165</v>
      </c>
    </row>
    <row r="279" spans="2:6" x14ac:dyDescent="0.45">
      <c r="B279" s="5">
        <v>271</v>
      </c>
      <c r="C279" s="9"/>
      <c r="D279" s="9"/>
      <c r="E279" s="1">
        <f t="shared" ca="1" si="18"/>
        <v>-0.88801301331762139</v>
      </c>
      <c r="F279" s="5">
        <f t="shared" ca="1" si="19"/>
        <v>1.0952017934082618</v>
      </c>
    </row>
    <row r="280" spans="2:6" x14ac:dyDescent="0.45">
      <c r="B280" s="5">
        <v>272</v>
      </c>
      <c r="C280" s="9"/>
      <c r="D280" s="9"/>
      <c r="E280" s="1">
        <f t="shared" ca="1" si="18"/>
        <v>-0.61610544857817495</v>
      </c>
      <c r="F280" s="5">
        <f t="shared" ca="1" si="19"/>
        <v>0.63245936253530777</v>
      </c>
    </row>
    <row r="281" spans="2:6" x14ac:dyDescent="0.45">
      <c r="B281" s="5">
        <v>273</v>
      </c>
      <c r="C281" s="9"/>
      <c r="D281" s="9"/>
      <c r="E281" s="1">
        <f t="shared" ca="1" si="18"/>
        <v>-3.2675494726039491</v>
      </c>
      <c r="F281" s="5">
        <f t="shared" ca="1" si="19"/>
        <v>0.5250322869402182</v>
      </c>
    </row>
    <row r="282" spans="2:6" x14ac:dyDescent="0.45">
      <c r="B282" s="5">
        <v>274</v>
      </c>
      <c r="C282" s="9"/>
      <c r="D282" s="9"/>
      <c r="E282" s="1">
        <f t="shared" ca="1" si="18"/>
        <v>-2.5314699313788114</v>
      </c>
      <c r="F282" s="5">
        <f t="shared" ca="1" si="19"/>
        <v>-0.21019120359561408</v>
      </c>
    </row>
    <row r="283" spans="2:6" x14ac:dyDescent="0.45">
      <c r="B283" s="5">
        <v>275</v>
      </c>
      <c r="C283" s="9"/>
      <c r="D283" s="9"/>
      <c r="E283" s="1">
        <f t="shared" ca="1" si="18"/>
        <v>-0.70392589117871252</v>
      </c>
      <c r="F283" s="5">
        <f t="shared" ca="1" si="19"/>
        <v>0.28463021069042194</v>
      </c>
    </row>
    <row r="284" spans="2:6" x14ac:dyDescent="0.45">
      <c r="B284" s="5">
        <v>276</v>
      </c>
      <c r="C284" s="9"/>
      <c r="D284" s="9"/>
      <c r="E284" s="1">
        <f t="shared" ca="1" si="18"/>
        <v>-2.155695005906149</v>
      </c>
      <c r="F284" s="5">
        <f t="shared" ca="1" si="19"/>
        <v>0.20407100455514335</v>
      </c>
    </row>
    <row r="285" spans="2:6" x14ac:dyDescent="0.45">
      <c r="B285" s="5">
        <v>277</v>
      </c>
      <c r="C285" s="9"/>
      <c r="D285" s="9"/>
      <c r="E285" s="1">
        <f t="shared" ca="1" si="18"/>
        <v>-2.9169669429737954</v>
      </c>
      <c r="F285" s="5">
        <f t="shared" ca="1" si="19"/>
        <v>0.15245594614378585</v>
      </c>
    </row>
    <row r="286" spans="2:6" x14ac:dyDescent="0.45">
      <c r="B286" s="5">
        <v>278</v>
      </c>
      <c r="C286" s="9"/>
      <c r="D286" s="9"/>
      <c r="E286" s="1">
        <f t="shared" ca="1" si="18"/>
        <v>-1.2468769448556598</v>
      </c>
      <c r="F286" s="5">
        <f t="shared" ca="1" si="19"/>
        <v>-0.75858500372217597</v>
      </c>
    </row>
    <row r="287" spans="2:6" x14ac:dyDescent="0.45">
      <c r="B287" s="5">
        <v>279</v>
      </c>
      <c r="C287" s="9"/>
      <c r="D287" s="9"/>
      <c r="E287" s="1">
        <f t="shared" ca="1" si="18"/>
        <v>-1.2395802969873055</v>
      </c>
      <c r="F287" s="5">
        <f t="shared" ca="1" si="19"/>
        <v>-0.19928079733249074</v>
      </c>
    </row>
    <row r="288" spans="2:6" x14ac:dyDescent="0.45">
      <c r="B288" s="5">
        <v>280</v>
      </c>
      <c r="C288" s="9"/>
      <c r="D288" s="9"/>
      <c r="E288" s="1">
        <f t="shared" ca="1" si="18"/>
        <v>-2.0156226325476592</v>
      </c>
      <c r="F288" s="5">
        <f t="shared" ca="1" si="19"/>
        <v>-8.4433871039845343E-2</v>
      </c>
    </row>
    <row r="289" spans="2:6" x14ac:dyDescent="0.45">
      <c r="B289" s="5">
        <v>281</v>
      </c>
      <c r="C289" s="9"/>
      <c r="D289" s="9"/>
      <c r="E289" s="1">
        <f t="shared" ca="1" si="18"/>
        <v>-1.9207160588253576</v>
      </c>
      <c r="F289" s="5">
        <f t="shared" ca="1" si="19"/>
        <v>1.5716185339115858</v>
      </c>
    </row>
    <row r="290" spans="2:6" x14ac:dyDescent="0.45">
      <c r="B290" s="5">
        <v>282</v>
      </c>
      <c r="C290" s="9"/>
      <c r="D290" s="9"/>
      <c r="E290" s="1">
        <f t="shared" ca="1" si="18"/>
        <v>-2.3924790820206416</v>
      </c>
      <c r="F290" s="5">
        <f t="shared" ca="1" si="19"/>
        <v>1.5106098758487791</v>
      </c>
    </row>
    <row r="291" spans="2:6" x14ac:dyDescent="0.45">
      <c r="B291" s="5">
        <v>283</v>
      </c>
      <c r="C291" s="9"/>
      <c r="D291" s="9"/>
      <c r="E291" s="1">
        <f t="shared" ca="1" si="18"/>
        <v>-1.8557785991059759</v>
      </c>
      <c r="F291" s="5">
        <f t="shared" ca="1" si="19"/>
        <v>1.5147175189578246</v>
      </c>
    </row>
    <row r="292" spans="2:6" x14ac:dyDescent="0.45">
      <c r="B292" s="5">
        <v>284</v>
      </c>
      <c r="C292" s="9"/>
      <c r="D292" s="9"/>
      <c r="E292" s="1">
        <f t="shared" ca="1" si="18"/>
        <v>-3.0884660345992443</v>
      </c>
      <c r="F292" s="5">
        <f t="shared" ca="1" si="19"/>
        <v>-0.83521390035847798</v>
      </c>
    </row>
    <row r="293" spans="2:6" x14ac:dyDescent="0.45">
      <c r="B293" s="5">
        <v>285</v>
      </c>
      <c r="C293" s="9"/>
      <c r="D293" s="9"/>
      <c r="E293" s="1">
        <f t="shared" ca="1" si="18"/>
        <v>-2.0837040437235768</v>
      </c>
      <c r="F293" s="5">
        <f t="shared" ca="1" si="19"/>
        <v>-0.5653620637194301</v>
      </c>
    </row>
    <row r="294" spans="2:6" x14ac:dyDescent="0.45">
      <c r="B294" s="5">
        <v>286</v>
      </c>
      <c r="C294" s="9"/>
      <c r="D294" s="9"/>
      <c r="E294" s="1">
        <f t="shared" ca="1" si="18"/>
        <v>-1.5984599387317784</v>
      </c>
      <c r="F294" s="5">
        <f t="shared" ca="1" si="19"/>
        <v>1.264748208771723</v>
      </c>
    </row>
    <row r="295" spans="2:6" x14ac:dyDescent="0.45">
      <c r="B295" s="5">
        <v>287</v>
      </c>
      <c r="C295" s="9"/>
      <c r="D295" s="9"/>
      <c r="E295" s="1">
        <f t="shared" ca="1" si="18"/>
        <v>-2.2545781770736384</v>
      </c>
      <c r="F295" s="5">
        <f t="shared" ca="1" si="19"/>
        <v>-3.2800328079521358E-2</v>
      </c>
    </row>
    <row r="296" spans="2:6" x14ac:dyDescent="0.45">
      <c r="B296" s="5">
        <v>288</v>
      </c>
      <c r="C296" s="9"/>
      <c r="D296" s="9"/>
      <c r="E296" s="1">
        <f t="shared" ca="1" si="18"/>
        <v>-2.5905141938054084</v>
      </c>
      <c r="F296" s="5">
        <f t="shared" ca="1" si="19"/>
        <v>-0.71788869397397048</v>
      </c>
    </row>
    <row r="297" spans="2:6" x14ac:dyDescent="0.45">
      <c r="B297" s="5">
        <v>289</v>
      </c>
      <c r="C297" s="9"/>
      <c r="D297" s="9"/>
      <c r="E297" s="1">
        <f t="shared" ca="1" si="18"/>
        <v>-0.96648458827451234</v>
      </c>
      <c r="F297" s="5">
        <f t="shared" ca="1" si="19"/>
        <v>0.27293119606965921</v>
      </c>
    </row>
    <row r="298" spans="2:6" x14ac:dyDescent="0.45">
      <c r="B298" s="5">
        <v>290</v>
      </c>
      <c r="C298" s="9"/>
      <c r="D298" s="9"/>
      <c r="E298" s="1">
        <f t="shared" ca="1" si="18"/>
        <v>-1.4472079155172972</v>
      </c>
      <c r="F298" s="5">
        <f t="shared" ca="1" si="19"/>
        <v>0.55890238168096618</v>
      </c>
    </row>
    <row r="299" spans="2:6" x14ac:dyDescent="0.45">
      <c r="B299" s="5">
        <v>291</v>
      </c>
      <c r="C299" s="9"/>
      <c r="D299" s="9"/>
      <c r="E299" s="1">
        <f t="shared" ca="1" si="18"/>
        <v>-1.9346894390134641</v>
      </c>
      <c r="F299" s="5">
        <f t="shared" ca="1" si="19"/>
        <v>-5.5746532180185125E-2</v>
      </c>
    </row>
    <row r="300" spans="2:6" x14ac:dyDescent="0.45">
      <c r="B300" s="5">
        <v>292</v>
      </c>
      <c r="C300" s="9"/>
      <c r="D300" s="9"/>
      <c r="E300" s="1">
        <f t="shared" ca="1" si="18"/>
        <v>-3.3214196048385674</v>
      </c>
      <c r="F300" s="5">
        <f t="shared" ca="1" si="19"/>
        <v>0.8544711741251847</v>
      </c>
    </row>
    <row r="301" spans="2:6" x14ac:dyDescent="0.45">
      <c r="B301" s="5">
        <v>293</v>
      </c>
      <c r="C301" s="9"/>
      <c r="D301" s="9"/>
      <c r="E301" s="1">
        <f t="shared" ca="1" si="18"/>
        <v>-3.50446606870302</v>
      </c>
      <c r="F301" s="5">
        <f t="shared" ca="1" si="19"/>
        <v>0.41540808244051797</v>
      </c>
    </row>
    <row r="302" spans="2:6" x14ac:dyDescent="0.45">
      <c r="B302" s="5">
        <v>294</v>
      </c>
      <c r="C302" s="9"/>
      <c r="D302" s="9"/>
      <c r="E302" s="1">
        <f t="shared" ca="1" si="18"/>
        <v>-3.2396731505278007</v>
      </c>
      <c r="F302" s="5">
        <f t="shared" ca="1" si="19"/>
        <v>0.88225815642251737</v>
      </c>
    </row>
    <row r="303" spans="2:6" x14ac:dyDescent="0.45">
      <c r="B303" s="5">
        <v>295</v>
      </c>
      <c r="C303" s="9"/>
      <c r="D303" s="9"/>
      <c r="E303" s="1">
        <f t="shared" ca="1" si="18"/>
        <v>-1.8209165619952952</v>
      </c>
      <c r="F303" s="5">
        <f t="shared" ca="1" si="19"/>
        <v>-1.3602461872986964</v>
      </c>
    </row>
    <row r="304" spans="2:6" x14ac:dyDescent="0.45">
      <c r="B304" s="5">
        <v>296</v>
      </c>
      <c r="C304" s="9"/>
      <c r="D304" s="9"/>
      <c r="E304" s="1">
        <f t="shared" ca="1" si="18"/>
        <v>-1.5522341123447652</v>
      </c>
      <c r="F304" s="5">
        <f t="shared" ca="1" si="19"/>
        <v>-0.35517086012381588</v>
      </c>
    </row>
    <row r="305" spans="2:6" x14ac:dyDescent="0.45">
      <c r="B305" s="5">
        <v>297</v>
      </c>
      <c r="C305" s="9"/>
      <c r="D305" s="9"/>
      <c r="E305" s="1">
        <f t="shared" ca="1" si="18"/>
        <v>-2.8945340475530656</v>
      </c>
      <c r="F305" s="5">
        <f t="shared" ca="1" si="19"/>
        <v>0.98011799808130151</v>
      </c>
    </row>
    <row r="306" spans="2:6" x14ac:dyDescent="0.45">
      <c r="B306" s="5">
        <v>298</v>
      </c>
      <c r="C306" s="9"/>
      <c r="D306" s="9"/>
      <c r="E306" s="1">
        <f t="shared" ca="1" si="18"/>
        <v>-2.0988831711674893</v>
      </c>
      <c r="F306" s="5">
        <f t="shared" ca="1" si="19"/>
        <v>-0.23687133263466445</v>
      </c>
    </row>
    <row r="307" spans="2:6" x14ac:dyDescent="0.45">
      <c r="B307" s="5">
        <v>299</v>
      </c>
      <c r="C307" s="9"/>
      <c r="D307" s="9"/>
      <c r="E307" s="1">
        <f t="shared" ca="1" si="18"/>
        <v>-1.6735472508316129</v>
      </c>
      <c r="F307" s="5">
        <f t="shared" ca="1" si="19"/>
        <v>-0.87034464011775625</v>
      </c>
    </row>
    <row r="308" spans="2:6" x14ac:dyDescent="0.45">
      <c r="B308" s="5">
        <v>300</v>
      </c>
      <c r="C308" s="9"/>
      <c r="D308" s="9"/>
      <c r="E308" s="1">
        <f t="shared" ca="1" si="18"/>
        <v>-1.7196076434188523</v>
      </c>
      <c r="F308" s="5">
        <f t="shared" ca="1" si="19"/>
        <v>1.0315161997918356</v>
      </c>
    </row>
    <row r="309" spans="2:6" x14ac:dyDescent="0.45">
      <c r="B309" s="5">
        <v>301</v>
      </c>
      <c r="C309" s="9"/>
      <c r="D309" s="9"/>
      <c r="E309" s="1">
        <f t="shared" ca="1" si="18"/>
        <v>-2.2076276185299917</v>
      </c>
      <c r="F309" s="5">
        <f t="shared" ca="1" si="19"/>
        <v>0.75818317901345733</v>
      </c>
    </row>
    <row r="310" spans="2:6" x14ac:dyDescent="0.45">
      <c r="B310" s="5">
        <v>302</v>
      </c>
      <c r="C310" s="9"/>
      <c r="D310" s="9"/>
      <c r="E310" s="1">
        <f t="shared" ca="1" si="18"/>
        <v>-1.9190668064658047</v>
      </c>
      <c r="F310" s="5">
        <f t="shared" ca="1" si="19"/>
        <v>2.8687338859660464E-2</v>
      </c>
    </row>
    <row r="311" spans="2:6" x14ac:dyDescent="0.45">
      <c r="B311" s="5">
        <v>303</v>
      </c>
      <c r="C311" s="9"/>
      <c r="D311" s="9"/>
      <c r="E311" s="1">
        <f t="shared" ca="1" si="18"/>
        <v>-3.4007035460132098</v>
      </c>
      <c r="F311" s="5">
        <f t="shared" ca="1" si="19"/>
        <v>-0.71714735978640087</v>
      </c>
    </row>
    <row r="312" spans="2:6" x14ac:dyDescent="0.45">
      <c r="B312" s="5">
        <v>304</v>
      </c>
      <c r="C312" s="9"/>
      <c r="D312" s="9"/>
      <c r="E312" s="1">
        <f t="shared" ca="1" si="18"/>
        <v>-3.1119869866823793</v>
      </c>
      <c r="F312" s="5">
        <f t="shared" ca="1" si="19"/>
        <v>-1.095201793408261</v>
      </c>
    </row>
    <row r="313" spans="2:6" x14ac:dyDescent="0.45">
      <c r="B313" s="5">
        <v>305</v>
      </c>
      <c r="C313" s="9"/>
      <c r="D313" s="9"/>
      <c r="E313" s="1">
        <f t="shared" ca="1" si="18"/>
        <v>-3.3838945514218253</v>
      </c>
      <c r="F313" s="5">
        <f t="shared" ca="1" si="19"/>
        <v>-0.63245936253530677</v>
      </c>
    </row>
    <row r="314" spans="2:6" x14ac:dyDescent="0.45">
      <c r="B314" s="5">
        <v>306</v>
      </c>
      <c r="C314" s="9"/>
      <c r="D314" s="9"/>
      <c r="E314" s="1">
        <f t="shared" ca="1" si="18"/>
        <v>-0.73245052739605065</v>
      </c>
      <c r="F314" s="5">
        <f t="shared" ca="1" si="19"/>
        <v>-0.52503228694021831</v>
      </c>
    </row>
    <row r="315" spans="2:6" x14ac:dyDescent="0.45">
      <c r="B315" s="5">
        <v>307</v>
      </c>
      <c r="C315" s="9"/>
      <c r="D315" s="9"/>
      <c r="E315" s="1">
        <f t="shared" ca="1" si="18"/>
        <v>-1.4685300686211884</v>
      </c>
      <c r="F315" s="5">
        <f t="shared" ca="1" si="19"/>
        <v>0.21019120359561447</v>
      </c>
    </row>
    <row r="316" spans="2:6" x14ac:dyDescent="0.45">
      <c r="B316" s="5">
        <v>308</v>
      </c>
      <c r="C316" s="9"/>
      <c r="D316" s="9"/>
      <c r="E316" s="1">
        <f t="shared" ca="1" si="18"/>
        <v>-3.2960741088212875</v>
      </c>
      <c r="F316" s="5">
        <f t="shared" ca="1" si="19"/>
        <v>-0.28463021069042094</v>
      </c>
    </row>
    <row r="317" spans="2:6" x14ac:dyDescent="0.45">
      <c r="B317" s="5">
        <v>309</v>
      </c>
      <c r="C317" s="9"/>
      <c r="D317" s="9"/>
      <c r="E317" s="1">
        <f t="shared" ca="1" si="18"/>
        <v>-1.8443049940938512</v>
      </c>
      <c r="F317" s="5">
        <f t="shared" ca="1" si="19"/>
        <v>-0.2040710045551429</v>
      </c>
    </row>
    <row r="318" spans="2:6" x14ac:dyDescent="0.45">
      <c r="B318" s="5">
        <v>310</v>
      </c>
      <c r="C318" s="9"/>
      <c r="D318" s="9"/>
      <c r="E318" s="1">
        <f t="shared" ca="1" si="18"/>
        <v>-1.0830330570262046</v>
      </c>
      <c r="F318" s="5">
        <f t="shared" ca="1" si="19"/>
        <v>-0.15245594614378569</v>
      </c>
    </row>
    <row r="319" spans="2:6" x14ac:dyDescent="0.45">
      <c r="B319" s="5">
        <v>311</v>
      </c>
      <c r="C319" s="9"/>
      <c r="D319" s="9"/>
      <c r="E319" s="1">
        <f t="shared" ca="1" si="18"/>
        <v>-2.7531230551443402</v>
      </c>
      <c r="F319" s="5">
        <f t="shared" ca="1" si="19"/>
        <v>0.75858500372217685</v>
      </c>
    </row>
    <row r="320" spans="2:6" x14ac:dyDescent="0.45">
      <c r="B320" s="5">
        <v>312</v>
      </c>
      <c r="C320" s="9"/>
      <c r="D320" s="9"/>
      <c r="E320" s="1">
        <f t="shared" ca="1" si="18"/>
        <v>-2.7604197030126945</v>
      </c>
      <c r="F320" s="5">
        <f t="shared" ca="1" si="19"/>
        <v>0.1992807973324916</v>
      </c>
    </row>
    <row r="321" spans="2:6" x14ac:dyDescent="0.45">
      <c r="B321" s="5">
        <v>313</v>
      </c>
      <c r="C321" s="9"/>
      <c r="D321" s="9"/>
      <c r="E321" s="1">
        <f t="shared" ca="1" si="18"/>
        <v>-1.9843773674523406</v>
      </c>
      <c r="F321" s="5">
        <f t="shared" ca="1" si="19"/>
        <v>8.4433871039845843E-2</v>
      </c>
    </row>
    <row r="322" spans="2:6" x14ac:dyDescent="0.45">
      <c r="B322" s="5">
        <v>314</v>
      </c>
      <c r="C322" s="9"/>
      <c r="D322" s="9"/>
      <c r="E322" s="1">
        <f t="shared" ca="1" si="18"/>
        <v>-2.0792839411746429</v>
      </c>
      <c r="F322" s="5">
        <f t="shared" ca="1" si="19"/>
        <v>-1.5716185339115853</v>
      </c>
    </row>
    <row r="323" spans="2:6" x14ac:dyDescent="0.45">
      <c r="B323" s="5">
        <v>315</v>
      </c>
      <c r="C323" s="9"/>
      <c r="D323" s="9"/>
      <c r="E323" s="1">
        <f t="shared" ca="1" si="18"/>
        <v>-1.6075209179793588</v>
      </c>
      <c r="F323" s="5">
        <f t="shared" ca="1" si="19"/>
        <v>-1.5106098758487789</v>
      </c>
    </row>
    <row r="324" spans="2:6" x14ac:dyDescent="0.45">
      <c r="B324" s="5">
        <v>316</v>
      </c>
      <c r="C324" s="9"/>
      <c r="D324" s="9"/>
      <c r="E324" s="1">
        <f t="shared" ca="1" si="18"/>
        <v>-2.144221400894025</v>
      </c>
      <c r="F324" s="5">
        <f t="shared" ca="1" si="19"/>
        <v>-1.5147175189578239</v>
      </c>
    </row>
    <row r="325" spans="2:6" x14ac:dyDescent="0.45">
      <c r="B325" s="5">
        <v>317</v>
      </c>
      <c r="C325" s="9"/>
      <c r="D325" s="9"/>
      <c r="E325" s="1">
        <f t="shared" ca="1" si="18"/>
        <v>-0.91153396540075526</v>
      </c>
      <c r="F325" s="5">
        <f t="shared" ca="1" si="19"/>
        <v>0.83521390035847842</v>
      </c>
    </row>
    <row r="326" spans="2:6" x14ac:dyDescent="0.45">
      <c r="B326" s="5">
        <v>318</v>
      </c>
      <c r="C326" s="9"/>
      <c r="D326" s="9"/>
      <c r="E326" s="1">
        <f t="shared" ca="1" si="18"/>
        <v>-1.916295956276423</v>
      </c>
      <c r="F326" s="5">
        <f t="shared" ca="1" si="19"/>
        <v>0.56536206371943054</v>
      </c>
    </row>
    <row r="327" spans="2:6" x14ac:dyDescent="0.45">
      <c r="B327" s="5">
        <v>319</v>
      </c>
      <c r="C327" s="9"/>
      <c r="D327" s="9"/>
      <c r="E327" s="1">
        <f t="shared" ca="1" si="18"/>
        <v>-2.4015400612682223</v>
      </c>
      <c r="F327" s="5">
        <f t="shared" ca="1" si="19"/>
        <v>-1.2647482087717221</v>
      </c>
    </row>
    <row r="328" spans="2:6" x14ac:dyDescent="0.45">
      <c r="B328" s="5">
        <v>320</v>
      </c>
      <c r="C328" s="9"/>
      <c r="D328" s="9"/>
      <c r="E328" s="1">
        <f t="shared" ca="1" si="18"/>
        <v>-1.7454218229263616</v>
      </c>
      <c r="F328" s="5">
        <f t="shared" ca="1" si="19"/>
        <v>3.2800328079521733E-2</v>
      </c>
    </row>
    <row r="329" spans="2:6" x14ac:dyDescent="0.45">
      <c r="B329" s="5">
        <v>321</v>
      </c>
      <c r="C329" s="9"/>
      <c r="D329" s="9"/>
      <c r="E329" s="1">
        <f t="shared" ca="1" si="18"/>
        <v>-1.4094858061945912</v>
      </c>
      <c r="F329" s="5">
        <f t="shared" ca="1" si="19"/>
        <v>0.7178886939739707</v>
      </c>
    </row>
    <row r="330" spans="2:6" x14ac:dyDescent="0.45">
      <c r="B330" s="5">
        <v>322</v>
      </c>
      <c r="C330" s="9"/>
      <c r="D330" s="9"/>
      <c r="E330" s="1">
        <f t="shared" ca="1" si="18"/>
        <v>-3.0335154117254879</v>
      </c>
      <c r="F330" s="5">
        <f t="shared" ca="1" si="19"/>
        <v>-0.27293119606965843</v>
      </c>
    </row>
    <row r="331" spans="2:6" x14ac:dyDescent="0.45">
      <c r="B331" s="5">
        <v>323</v>
      </c>
      <c r="C331" s="9"/>
      <c r="D331" s="9"/>
      <c r="E331" s="1">
        <f t="shared" ca="1" si="18"/>
        <v>-2.5527920844827028</v>
      </c>
      <c r="F331" s="5">
        <f t="shared" ca="1" si="19"/>
        <v>-0.55890238168096551</v>
      </c>
    </row>
    <row r="332" spans="2:6" x14ac:dyDescent="0.45">
      <c r="B332" s="5">
        <v>324</v>
      </c>
      <c r="C332" s="9"/>
      <c r="D332" s="9"/>
      <c r="E332" s="1">
        <f t="shared" ca="1" si="18"/>
        <v>-2.0653105609865356</v>
      </c>
      <c r="F332" s="5">
        <f t="shared" ca="1" si="19"/>
        <v>5.5746532180185632E-2</v>
      </c>
    </row>
    <row r="333" spans="2:6" x14ac:dyDescent="0.45">
      <c r="B333" s="5">
        <v>325</v>
      </c>
      <c r="C333" s="9"/>
      <c r="D333" s="9"/>
      <c r="E333" s="1">
        <f t="shared" ca="1" si="18"/>
        <v>-0.67858039516143309</v>
      </c>
      <c r="F333" s="5">
        <f t="shared" ca="1" si="19"/>
        <v>-0.85447117412518458</v>
      </c>
    </row>
    <row r="334" spans="2:6" x14ac:dyDescent="0.45">
      <c r="B334" s="5">
        <v>326</v>
      </c>
      <c r="C334" s="9"/>
      <c r="D334" s="9"/>
      <c r="E334" s="1">
        <f t="shared" ca="1" si="18"/>
        <v>-0.49553393129697976</v>
      </c>
      <c r="F334" s="5">
        <f t="shared" ca="1" si="19"/>
        <v>-0.41540808244051808</v>
      </c>
    </row>
    <row r="335" spans="2:6" x14ac:dyDescent="0.45">
      <c r="B335" s="5">
        <v>327</v>
      </c>
      <c r="C335" s="9"/>
      <c r="D335" s="9"/>
      <c r="E335" s="1">
        <f t="shared" ca="1" si="18"/>
        <v>-0.76032684947219975</v>
      </c>
      <c r="F335" s="5">
        <f t="shared" ca="1" si="19"/>
        <v>-0.88225815642251737</v>
      </c>
    </row>
    <row r="336" spans="2:6" x14ac:dyDescent="0.45">
      <c r="B336" s="5">
        <v>328</v>
      </c>
      <c r="C336" s="9">
        <f>328+66</f>
        <v>394</v>
      </c>
      <c r="D336" s="9"/>
      <c r="E336" s="1">
        <f t="shared" ref="E336" ca="1" si="20">E73+2*COS(6*PI()/6)</f>
        <v>-2.1790834380047044</v>
      </c>
      <c r="F336" s="5">
        <f t="shared" ref="F336" ca="1" si="21">F73+2*SIN(6*PI()/6)</f>
        <v>1.3602461872986971</v>
      </c>
    </row>
    <row r="337" spans="2:6" x14ac:dyDescent="0.45">
      <c r="B337" s="5">
        <v>329</v>
      </c>
      <c r="C337" s="9"/>
      <c r="D337" s="9"/>
      <c r="E337" s="1">
        <f ca="1">E8+2*COS(8*PI()/6)</f>
        <v>-1.4477658876552357</v>
      </c>
      <c r="F337" s="5">
        <f ca="1">F8+2*SIN(8*PI()/6)</f>
        <v>-1.3768799474450608</v>
      </c>
    </row>
    <row r="338" spans="2:6" x14ac:dyDescent="0.45">
      <c r="B338" s="5">
        <v>330</v>
      </c>
      <c r="C338" s="9"/>
      <c r="D338" s="9"/>
      <c r="E338" s="1">
        <f t="shared" ref="E338:E401" ca="1" si="22">E9+2*COS(8*PI()/6)</f>
        <v>-0.10546595244693469</v>
      </c>
      <c r="F338" s="5">
        <f t="shared" ref="F338:F401" ca="1" si="23">F9+2*SIN(8*PI()/6)</f>
        <v>-2.7121688056501778</v>
      </c>
    </row>
    <row r="339" spans="2:6" x14ac:dyDescent="0.45">
      <c r="B339" s="5">
        <v>331</v>
      </c>
      <c r="C339" s="9"/>
      <c r="D339" s="9"/>
      <c r="E339" s="1">
        <f t="shared" ca="1" si="22"/>
        <v>-0.90111682883251154</v>
      </c>
      <c r="F339" s="5">
        <f t="shared" ca="1" si="23"/>
        <v>-1.495179474934212</v>
      </c>
    </row>
    <row r="340" spans="2:6" x14ac:dyDescent="0.45">
      <c r="B340" s="5">
        <v>332</v>
      </c>
      <c r="C340" s="9"/>
      <c r="D340" s="9"/>
      <c r="E340" s="1">
        <f t="shared" ca="1" si="22"/>
        <v>-1.3264527491683882</v>
      </c>
      <c r="F340" s="5">
        <f t="shared" ca="1" si="23"/>
        <v>-0.8617061674511205</v>
      </c>
    </row>
    <row r="341" spans="2:6" x14ac:dyDescent="0.45">
      <c r="B341" s="5">
        <v>333</v>
      </c>
      <c r="C341" s="9"/>
      <c r="D341" s="9"/>
      <c r="E341" s="1">
        <f t="shared" ca="1" si="22"/>
        <v>-1.2803923565811481</v>
      </c>
      <c r="F341" s="5">
        <f t="shared" ca="1" si="23"/>
        <v>-2.7635670073607121</v>
      </c>
    </row>
    <row r="342" spans="2:6" x14ac:dyDescent="0.45">
      <c r="B342" s="5">
        <v>334</v>
      </c>
      <c r="C342" s="9"/>
      <c r="D342" s="9"/>
      <c r="E342" s="1">
        <f t="shared" ca="1" si="22"/>
        <v>-0.79237238147000899</v>
      </c>
      <c r="F342" s="5">
        <f t="shared" ca="1" si="23"/>
        <v>-2.490233986582334</v>
      </c>
    </row>
    <row r="343" spans="2:6" x14ac:dyDescent="0.45">
      <c r="B343" s="5">
        <v>335</v>
      </c>
      <c r="C343" s="9"/>
      <c r="D343" s="9"/>
      <c r="E343" s="1">
        <f t="shared" ca="1" si="22"/>
        <v>-1.0809331935341961</v>
      </c>
      <c r="F343" s="5">
        <f t="shared" ca="1" si="23"/>
        <v>-1.760738146428537</v>
      </c>
    </row>
    <row r="344" spans="2:6" x14ac:dyDescent="0.45">
      <c r="B344" s="5">
        <v>336</v>
      </c>
      <c r="C344" s="9"/>
      <c r="D344" s="9"/>
      <c r="E344" s="1">
        <f t="shared" ca="1" si="22"/>
        <v>0.40070354601320868</v>
      </c>
      <c r="F344" s="5">
        <f t="shared" ca="1" si="23"/>
        <v>-1.0149034477824754</v>
      </c>
    </row>
    <row r="345" spans="2:6" x14ac:dyDescent="0.45">
      <c r="B345" s="5">
        <v>337</v>
      </c>
      <c r="C345" s="9"/>
      <c r="D345" s="9"/>
      <c r="E345" s="1">
        <f t="shared" ca="1" si="22"/>
        <v>0.11198698668237772</v>
      </c>
      <c r="F345" s="5">
        <f t="shared" ca="1" si="23"/>
        <v>-0.63684901416061512</v>
      </c>
    </row>
    <row r="346" spans="2:6" x14ac:dyDescent="0.45">
      <c r="B346" s="5">
        <v>338</v>
      </c>
      <c r="C346" s="9"/>
      <c r="D346" s="9"/>
      <c r="E346" s="1">
        <f t="shared" ca="1" si="22"/>
        <v>0.38389455142182416</v>
      </c>
      <c r="F346" s="5">
        <f t="shared" ca="1" si="23"/>
        <v>-1.0995914450335693</v>
      </c>
    </row>
    <row r="347" spans="2:6" x14ac:dyDescent="0.45">
      <c r="B347" s="5">
        <v>339</v>
      </c>
      <c r="C347" s="9"/>
      <c r="D347" s="9"/>
      <c r="E347" s="1">
        <f t="shared" ca="1" si="22"/>
        <v>-2.26754947260395</v>
      </c>
      <c r="F347" s="5">
        <f t="shared" ca="1" si="23"/>
        <v>-1.2070185206286588</v>
      </c>
    </row>
    <row r="348" spans="2:6" x14ac:dyDescent="0.45">
      <c r="B348" s="5">
        <v>340</v>
      </c>
      <c r="C348" s="9"/>
      <c r="D348" s="9"/>
      <c r="E348" s="1">
        <f t="shared" ca="1" si="22"/>
        <v>-1.5314699313788123</v>
      </c>
      <c r="F348" s="5">
        <f t="shared" ca="1" si="23"/>
        <v>-1.9422420111644911</v>
      </c>
    </row>
    <row r="349" spans="2:6" x14ac:dyDescent="0.45">
      <c r="B349" s="5">
        <v>341</v>
      </c>
      <c r="C349" s="9"/>
      <c r="D349" s="9"/>
      <c r="E349" s="1">
        <f t="shared" ca="1" si="22"/>
        <v>0.2960741088212866</v>
      </c>
      <c r="F349" s="5">
        <f t="shared" ca="1" si="23"/>
        <v>-1.447420596878455</v>
      </c>
    </row>
    <row r="350" spans="2:6" x14ac:dyDescent="0.45">
      <c r="B350" s="5">
        <v>342</v>
      </c>
      <c r="C350" s="9"/>
      <c r="D350" s="9"/>
      <c r="E350" s="1">
        <f t="shared" ca="1" si="22"/>
        <v>-1.1556950059061499</v>
      </c>
      <c r="F350" s="5">
        <f t="shared" ca="1" si="23"/>
        <v>-1.5279798030137337</v>
      </c>
    </row>
    <row r="351" spans="2:6" x14ac:dyDescent="0.45">
      <c r="B351" s="5">
        <v>343</v>
      </c>
      <c r="C351" s="9"/>
      <c r="D351" s="9"/>
      <c r="E351" s="1">
        <f t="shared" ca="1" si="22"/>
        <v>-1.9169669429737963</v>
      </c>
      <c r="F351" s="5">
        <f t="shared" ca="1" si="23"/>
        <v>-1.5795948614250912</v>
      </c>
    </row>
    <row r="352" spans="2:6" x14ac:dyDescent="0.45">
      <c r="B352" s="5">
        <v>344</v>
      </c>
      <c r="C352" s="9"/>
      <c r="D352" s="9"/>
      <c r="E352" s="1">
        <f t="shared" ca="1" si="22"/>
        <v>-0.2468769448556607</v>
      </c>
      <c r="F352" s="5">
        <f t="shared" ca="1" si="23"/>
        <v>-2.4906358112910532</v>
      </c>
    </row>
    <row r="353" spans="2:6" x14ac:dyDescent="0.45">
      <c r="B353" s="5">
        <v>345</v>
      </c>
      <c r="C353" s="9"/>
      <c r="D353" s="9"/>
      <c r="E353" s="1">
        <f t="shared" ca="1" si="22"/>
        <v>-0.23958029698730654</v>
      </c>
      <c r="F353" s="5">
        <f t="shared" ca="1" si="23"/>
        <v>-1.9313316049013678</v>
      </c>
    </row>
    <row r="354" spans="2:6" x14ac:dyDescent="0.45">
      <c r="B354" s="5">
        <v>346</v>
      </c>
      <c r="C354" s="9"/>
      <c r="D354" s="9"/>
      <c r="E354" s="1">
        <f t="shared" ca="1" si="22"/>
        <v>-1.0156226325476603</v>
      </c>
      <c r="F354" s="5">
        <f t="shared" ca="1" si="23"/>
        <v>-1.8164846786087223</v>
      </c>
    </row>
    <row r="355" spans="2:6" x14ac:dyDescent="0.45">
      <c r="B355" s="5">
        <v>347</v>
      </c>
      <c r="C355" s="9"/>
      <c r="D355" s="9"/>
      <c r="E355" s="1">
        <f t="shared" ca="1" si="22"/>
        <v>-0.92071605882535834</v>
      </c>
      <c r="F355" s="5">
        <f t="shared" ca="1" si="23"/>
        <v>-0.16043227365729118</v>
      </c>
    </row>
    <row r="356" spans="2:6" x14ac:dyDescent="0.45">
      <c r="B356" s="5">
        <v>348</v>
      </c>
      <c r="C356" s="9"/>
      <c r="D356" s="9"/>
      <c r="E356" s="1">
        <f t="shared" ca="1" si="22"/>
        <v>-1.3924790820206425</v>
      </c>
      <c r="F356" s="5">
        <f t="shared" ca="1" si="23"/>
        <v>-0.22144093172009782</v>
      </c>
    </row>
    <row r="357" spans="2:6" x14ac:dyDescent="0.45">
      <c r="B357" s="5">
        <v>349</v>
      </c>
      <c r="C357" s="9"/>
      <c r="D357" s="9"/>
      <c r="E357" s="1">
        <f t="shared" ca="1" si="22"/>
        <v>-0.85577859910597665</v>
      </c>
      <c r="F357" s="5">
        <f t="shared" ca="1" si="23"/>
        <v>-0.21733328861105239</v>
      </c>
    </row>
    <row r="358" spans="2:6" x14ac:dyDescent="0.45">
      <c r="B358" s="5">
        <v>350</v>
      </c>
      <c r="C358" s="9"/>
      <c r="D358" s="9"/>
      <c r="E358" s="1">
        <f t="shared" ca="1" si="22"/>
        <v>-2.0884660345992452</v>
      </c>
      <c r="F358" s="5">
        <f t="shared" ca="1" si="23"/>
        <v>-2.5672647079273547</v>
      </c>
    </row>
    <row r="359" spans="2:6" x14ac:dyDescent="0.45">
      <c r="B359" s="5">
        <v>351</v>
      </c>
      <c r="C359" s="9"/>
      <c r="D359" s="9"/>
      <c r="E359" s="1">
        <f t="shared" ca="1" si="22"/>
        <v>-1.0837040437235776</v>
      </c>
      <c r="F359" s="5">
        <f t="shared" ca="1" si="23"/>
        <v>-2.2974128712883068</v>
      </c>
    </row>
    <row r="360" spans="2:6" x14ac:dyDescent="0.45">
      <c r="B360" s="5">
        <v>352</v>
      </c>
      <c r="C360" s="9"/>
      <c r="D360" s="9"/>
      <c r="E360" s="1">
        <f t="shared" ca="1" si="22"/>
        <v>-0.59845993873177927</v>
      </c>
      <c r="F360" s="5">
        <f t="shared" ca="1" si="23"/>
        <v>-0.46730259879715397</v>
      </c>
    </row>
    <row r="361" spans="2:6" x14ac:dyDescent="0.45">
      <c r="B361" s="5">
        <v>353</v>
      </c>
      <c r="C361" s="9"/>
      <c r="D361" s="9"/>
      <c r="E361" s="1">
        <f t="shared" ca="1" si="22"/>
        <v>-1.2545781770736393</v>
      </c>
      <c r="F361" s="5">
        <f t="shared" ca="1" si="23"/>
        <v>-1.7648511356483985</v>
      </c>
    </row>
    <row r="362" spans="2:6" x14ac:dyDescent="0.45">
      <c r="B362" s="5">
        <v>354</v>
      </c>
      <c r="C362" s="9"/>
      <c r="D362" s="9"/>
      <c r="E362" s="1">
        <f t="shared" ca="1" si="22"/>
        <v>-1.5905141938054093</v>
      </c>
      <c r="F362" s="5">
        <f t="shared" ca="1" si="23"/>
        <v>-2.4499395015428473</v>
      </c>
    </row>
    <row r="363" spans="2:6" x14ac:dyDescent="0.45">
      <c r="B363" s="5">
        <v>355</v>
      </c>
      <c r="C363" s="9"/>
      <c r="D363" s="9"/>
      <c r="E363" s="1">
        <f t="shared" ca="1" si="22"/>
        <v>3.3515411725486777E-2</v>
      </c>
      <c r="F363" s="5">
        <f t="shared" ca="1" si="23"/>
        <v>-1.4591196114992178</v>
      </c>
    </row>
    <row r="364" spans="2:6" x14ac:dyDescent="0.45">
      <c r="B364" s="5">
        <v>356</v>
      </c>
      <c r="C364" s="9"/>
      <c r="D364" s="9"/>
      <c r="E364" s="1">
        <f t="shared" ca="1" si="22"/>
        <v>-0.44720791551729822</v>
      </c>
      <c r="F364" s="5">
        <f t="shared" ca="1" si="23"/>
        <v>-1.1731484258879108</v>
      </c>
    </row>
    <row r="365" spans="2:6" x14ac:dyDescent="0.45">
      <c r="B365" s="5">
        <v>357</v>
      </c>
      <c r="C365" s="9"/>
      <c r="D365" s="9"/>
      <c r="E365" s="1">
        <f t="shared" ca="1" si="22"/>
        <v>-0.93468943901346502</v>
      </c>
      <c r="F365" s="5">
        <f t="shared" ca="1" si="23"/>
        <v>-1.7877973397490621</v>
      </c>
    </row>
    <row r="366" spans="2:6" x14ac:dyDescent="0.45">
      <c r="B366" s="5">
        <v>358</v>
      </c>
      <c r="C366" s="9"/>
      <c r="D366" s="9"/>
      <c r="E366" s="1">
        <f t="shared" ca="1" si="22"/>
        <v>-2.3214196048385682</v>
      </c>
      <c r="F366" s="5">
        <f t="shared" ca="1" si="23"/>
        <v>-0.87757963344369228</v>
      </c>
    </row>
    <row r="367" spans="2:6" x14ac:dyDescent="0.45">
      <c r="B367" s="5">
        <v>359</v>
      </c>
      <c r="C367" s="9"/>
      <c r="D367" s="9"/>
      <c r="E367" s="1">
        <f t="shared" ca="1" si="22"/>
        <v>-2.5044660687030209</v>
      </c>
      <c r="F367" s="5">
        <f t="shared" ca="1" si="23"/>
        <v>-1.316642725128359</v>
      </c>
    </row>
    <row r="368" spans="2:6" x14ac:dyDescent="0.45">
      <c r="B368" s="5">
        <v>360</v>
      </c>
      <c r="C368" s="9"/>
      <c r="D368" s="9"/>
      <c r="E368" s="1">
        <f t="shared" ca="1" si="22"/>
        <v>-2.2396731505278016</v>
      </c>
      <c r="F368" s="5">
        <f t="shared" ca="1" si="23"/>
        <v>-0.8497926511463596</v>
      </c>
    </row>
    <row r="369" spans="2:6" x14ac:dyDescent="0.45">
      <c r="B369" s="5">
        <v>361</v>
      </c>
      <c r="C369" s="9"/>
      <c r="D369" s="9"/>
      <c r="E369" s="1">
        <f t="shared" ca="1" si="22"/>
        <v>-0.82091656199529617</v>
      </c>
      <c r="F369" s="5">
        <f t="shared" ca="1" si="23"/>
        <v>-3.0922969948675734</v>
      </c>
    </row>
    <row r="370" spans="2:6" x14ac:dyDescent="0.45">
      <c r="B370" s="5">
        <v>362</v>
      </c>
      <c r="C370" s="9"/>
      <c r="D370" s="9"/>
      <c r="E370" s="1">
        <f t="shared" ca="1" si="22"/>
        <v>-0.55223411234476605</v>
      </c>
      <c r="F370" s="5">
        <f t="shared" ca="1" si="23"/>
        <v>-2.0872216676926927</v>
      </c>
    </row>
    <row r="371" spans="2:6" x14ac:dyDescent="0.45">
      <c r="B371" s="5">
        <v>363</v>
      </c>
      <c r="C371" s="9"/>
      <c r="D371" s="9"/>
      <c r="E371" s="1">
        <f t="shared" ca="1" si="22"/>
        <v>-1.8945340475530665</v>
      </c>
      <c r="F371" s="5">
        <f t="shared" ca="1" si="23"/>
        <v>-0.75193280948757546</v>
      </c>
    </row>
    <row r="372" spans="2:6" x14ac:dyDescent="0.45">
      <c r="B372" s="5">
        <v>364</v>
      </c>
      <c r="C372" s="9"/>
      <c r="D372" s="9"/>
      <c r="E372" s="1">
        <f t="shared" ca="1" si="22"/>
        <v>-1.0988831711674902</v>
      </c>
      <c r="F372" s="5">
        <f t="shared" ca="1" si="23"/>
        <v>-1.9689221402035415</v>
      </c>
    </row>
    <row r="373" spans="2:6" x14ac:dyDescent="0.45">
      <c r="B373" s="5">
        <v>365</v>
      </c>
      <c r="C373" s="9"/>
      <c r="D373" s="9"/>
      <c r="E373" s="1">
        <f t="shared" ca="1" si="22"/>
        <v>-0.67354725083161382</v>
      </c>
      <c r="F373" s="5">
        <f t="shared" ca="1" si="23"/>
        <v>-2.6023954476866331</v>
      </c>
    </row>
    <row r="374" spans="2:6" x14ac:dyDescent="0.45">
      <c r="B374" s="5">
        <v>366</v>
      </c>
      <c r="C374" s="9"/>
      <c r="D374" s="9"/>
      <c r="E374" s="1">
        <f t="shared" ca="1" si="22"/>
        <v>-0.71960764341885319</v>
      </c>
      <c r="F374" s="5">
        <f t="shared" ca="1" si="23"/>
        <v>-0.70053460777704135</v>
      </c>
    </row>
    <row r="375" spans="2:6" x14ac:dyDescent="0.45">
      <c r="B375" s="5">
        <v>367</v>
      </c>
      <c r="C375" s="9"/>
      <c r="D375" s="9"/>
      <c r="E375" s="1">
        <f t="shared" ca="1" si="22"/>
        <v>-1.2076276185299926</v>
      </c>
      <c r="F375" s="5">
        <f t="shared" ca="1" si="23"/>
        <v>-0.97386762855541964</v>
      </c>
    </row>
    <row r="376" spans="2:6" x14ac:dyDescent="0.45">
      <c r="B376" s="5">
        <v>368</v>
      </c>
      <c r="C376" s="9"/>
      <c r="D376" s="9"/>
      <c r="E376" s="1">
        <f t="shared" ca="1" si="22"/>
        <v>-0.91906680646580574</v>
      </c>
      <c r="F376" s="5">
        <f t="shared" ca="1" si="23"/>
        <v>-1.7033634687092165</v>
      </c>
    </row>
    <row r="377" spans="2:6" x14ac:dyDescent="0.45">
      <c r="B377" s="5">
        <v>369</v>
      </c>
      <c r="C377" s="9"/>
      <c r="D377" s="9"/>
      <c r="E377" s="1">
        <f t="shared" ca="1" si="22"/>
        <v>-2.4007035460132107</v>
      </c>
      <c r="F377" s="5">
        <f t="shared" ca="1" si="23"/>
        <v>-2.4491981673552781</v>
      </c>
    </row>
    <row r="378" spans="2:6" x14ac:dyDescent="0.45">
      <c r="B378" s="5">
        <v>370</v>
      </c>
      <c r="C378" s="9"/>
      <c r="D378" s="9"/>
      <c r="E378" s="1">
        <f t="shared" ca="1" si="22"/>
        <v>-2.1119869866823802</v>
      </c>
      <c r="F378" s="5">
        <f t="shared" ca="1" si="23"/>
        <v>-2.8272526009771379</v>
      </c>
    </row>
    <row r="379" spans="2:6" x14ac:dyDescent="0.45">
      <c r="B379" s="5">
        <v>371</v>
      </c>
      <c r="C379" s="9"/>
      <c r="D379" s="9"/>
      <c r="E379" s="1">
        <f t="shared" ca="1" si="22"/>
        <v>-2.3838945514218262</v>
      </c>
      <c r="F379" s="5">
        <f t="shared" ca="1" si="23"/>
        <v>-2.3645101701041837</v>
      </c>
    </row>
    <row r="380" spans="2:6" x14ac:dyDescent="0.45">
      <c r="B380" s="5">
        <v>372</v>
      </c>
      <c r="C380" s="9"/>
      <c r="D380" s="9"/>
      <c r="E380" s="1">
        <f t="shared" ca="1" si="22"/>
        <v>0.26754947260394846</v>
      </c>
      <c r="F380" s="5">
        <f t="shared" ca="1" si="23"/>
        <v>-2.2570830945090954</v>
      </c>
    </row>
    <row r="381" spans="2:6" x14ac:dyDescent="0.45">
      <c r="B381" s="5">
        <v>373</v>
      </c>
      <c r="C381" s="9"/>
      <c r="D381" s="9"/>
      <c r="E381" s="1">
        <f t="shared" ca="1" si="22"/>
        <v>-0.46853006862118929</v>
      </c>
      <c r="F381" s="5">
        <f t="shared" ca="1" si="23"/>
        <v>-1.5218596039732626</v>
      </c>
    </row>
    <row r="382" spans="2:6" x14ac:dyDescent="0.45">
      <c r="B382" s="5">
        <v>374</v>
      </c>
      <c r="C382" s="9"/>
      <c r="D382" s="9"/>
      <c r="E382" s="1">
        <f t="shared" ca="1" si="22"/>
        <v>-2.2960741088212884</v>
      </c>
      <c r="F382" s="5">
        <f t="shared" ca="1" si="23"/>
        <v>-2.0166810182592978</v>
      </c>
    </row>
    <row r="383" spans="2:6" x14ac:dyDescent="0.45">
      <c r="B383" s="5">
        <v>375</v>
      </c>
      <c r="C383" s="9"/>
      <c r="D383" s="9"/>
      <c r="E383" s="1">
        <f t="shared" ca="1" si="22"/>
        <v>-0.84430499409385207</v>
      </c>
      <c r="F383" s="5">
        <f t="shared" ca="1" si="23"/>
        <v>-1.93612181212402</v>
      </c>
    </row>
    <row r="384" spans="2:6" x14ac:dyDescent="0.45">
      <c r="B384" s="5">
        <v>376</v>
      </c>
      <c r="C384" s="9"/>
      <c r="D384" s="9"/>
      <c r="E384" s="1">
        <f t="shared" ca="1" si="22"/>
        <v>-8.3033057026205448E-2</v>
      </c>
      <c r="F384" s="5">
        <f t="shared" ca="1" si="23"/>
        <v>-1.8845067537126627</v>
      </c>
    </row>
    <row r="385" spans="2:6" x14ac:dyDescent="0.45">
      <c r="B385" s="5">
        <v>377</v>
      </c>
      <c r="C385" s="9"/>
      <c r="D385" s="9"/>
      <c r="E385" s="1">
        <f t="shared" ca="1" si="22"/>
        <v>-1.7531230551443409</v>
      </c>
      <c r="F385" s="5">
        <f t="shared" ca="1" si="23"/>
        <v>-0.97346580384670012</v>
      </c>
    </row>
    <row r="386" spans="2:6" x14ac:dyDescent="0.45">
      <c r="B386" s="5">
        <v>378</v>
      </c>
      <c r="C386" s="9"/>
      <c r="D386" s="9"/>
      <c r="E386" s="1">
        <f t="shared" ca="1" si="22"/>
        <v>-1.7604197030126953</v>
      </c>
      <c r="F386" s="5">
        <f t="shared" ca="1" si="23"/>
        <v>-1.5327700102363855</v>
      </c>
    </row>
    <row r="387" spans="2:6" x14ac:dyDescent="0.45">
      <c r="B387" s="5">
        <v>379</v>
      </c>
      <c r="C387" s="9"/>
      <c r="D387" s="9"/>
      <c r="E387" s="1">
        <f t="shared" ca="1" si="22"/>
        <v>-0.9843773674523415</v>
      </c>
      <c r="F387" s="5">
        <f t="shared" ca="1" si="23"/>
        <v>-1.6476169365290312</v>
      </c>
    </row>
    <row r="388" spans="2:6" x14ac:dyDescent="0.45">
      <c r="B388" s="5">
        <v>380</v>
      </c>
      <c r="C388" s="9"/>
      <c r="D388" s="9"/>
      <c r="E388" s="1">
        <f t="shared" ca="1" si="22"/>
        <v>-1.0792839411746438</v>
      </c>
      <c r="F388" s="5">
        <f t="shared" ca="1" si="23"/>
        <v>-3.3036693414804623</v>
      </c>
    </row>
    <row r="389" spans="2:6" x14ac:dyDescent="0.45">
      <c r="B389" s="5">
        <v>381</v>
      </c>
      <c r="C389" s="9"/>
      <c r="D389" s="9"/>
      <c r="E389" s="1">
        <f t="shared" ca="1" si="22"/>
        <v>-0.60752091797935981</v>
      </c>
      <c r="F389" s="5">
        <f t="shared" ca="1" si="23"/>
        <v>-3.2426606834176557</v>
      </c>
    </row>
    <row r="390" spans="2:6" x14ac:dyDescent="0.45">
      <c r="B390" s="5">
        <v>382</v>
      </c>
      <c r="C390" s="9"/>
      <c r="D390" s="9"/>
      <c r="E390" s="1">
        <f t="shared" ca="1" si="22"/>
        <v>-1.1442214008940259</v>
      </c>
      <c r="F390" s="5">
        <f t="shared" ca="1" si="23"/>
        <v>-3.2467683265267011</v>
      </c>
    </row>
    <row r="391" spans="2:6" x14ac:dyDescent="0.45">
      <c r="B391" s="5">
        <v>383</v>
      </c>
      <c r="C391" s="9"/>
      <c r="D391" s="9"/>
      <c r="E391" s="1">
        <f t="shared" ca="1" si="22"/>
        <v>8.8466034599243848E-2</v>
      </c>
      <c r="F391" s="5">
        <f t="shared" ca="1" si="23"/>
        <v>-0.89683690721039855</v>
      </c>
    </row>
    <row r="392" spans="2:6" x14ac:dyDescent="0.45">
      <c r="B392" s="5">
        <v>384</v>
      </c>
      <c r="C392" s="9"/>
      <c r="D392" s="9"/>
      <c r="E392" s="1">
        <f t="shared" ca="1" si="22"/>
        <v>-0.91629595627642402</v>
      </c>
      <c r="F392" s="5">
        <f t="shared" ca="1" si="23"/>
        <v>-1.1666887438494464</v>
      </c>
    </row>
    <row r="393" spans="2:6" x14ac:dyDescent="0.45">
      <c r="B393" s="5">
        <v>385</v>
      </c>
      <c r="C393" s="9"/>
      <c r="D393" s="9"/>
      <c r="E393" s="1">
        <f t="shared" ca="1" si="22"/>
        <v>-1.4015400612682229</v>
      </c>
      <c r="F393" s="5">
        <f t="shared" ca="1" si="23"/>
        <v>-2.9967990163405993</v>
      </c>
    </row>
    <row r="394" spans="2:6" x14ac:dyDescent="0.45">
      <c r="B394" s="5">
        <v>386</v>
      </c>
      <c r="C394" s="9"/>
      <c r="D394" s="9"/>
      <c r="E394" s="1">
        <f t="shared" ca="1" si="22"/>
        <v>-0.74542182292636261</v>
      </c>
      <c r="F394" s="5">
        <f t="shared" ca="1" si="23"/>
        <v>-1.6992504794893553</v>
      </c>
    </row>
    <row r="395" spans="2:6" x14ac:dyDescent="0.45">
      <c r="B395" s="5">
        <v>387</v>
      </c>
      <c r="C395" s="9"/>
      <c r="D395" s="9"/>
      <c r="E395" s="1">
        <f t="shared" ca="1" si="22"/>
        <v>-0.40948580619459218</v>
      </c>
      <c r="F395" s="5">
        <f t="shared" ca="1" si="23"/>
        <v>-1.0141621135949062</v>
      </c>
    </row>
    <row r="396" spans="2:6" x14ac:dyDescent="0.45">
      <c r="B396" s="5">
        <v>388</v>
      </c>
      <c r="C396" s="9"/>
      <c r="D396" s="9"/>
      <c r="E396" s="1">
        <f t="shared" ca="1" si="22"/>
        <v>-2.0335154117254888</v>
      </c>
      <c r="F396" s="5">
        <f t="shared" ca="1" si="23"/>
        <v>-2.0049820036385353</v>
      </c>
    </row>
    <row r="397" spans="2:6" x14ac:dyDescent="0.45">
      <c r="B397" s="5">
        <v>389</v>
      </c>
      <c r="C397" s="9"/>
      <c r="D397" s="9"/>
      <c r="E397" s="1">
        <f t="shared" ca="1" si="22"/>
        <v>-1.5527920844827039</v>
      </c>
      <c r="F397" s="5">
        <f t="shared" ca="1" si="23"/>
        <v>-2.2909531892498425</v>
      </c>
    </row>
    <row r="398" spans="2:6" x14ac:dyDescent="0.45">
      <c r="B398" s="5">
        <v>390</v>
      </c>
      <c r="C398" s="9"/>
      <c r="D398" s="9"/>
      <c r="E398" s="1">
        <f t="shared" ca="1" si="22"/>
        <v>-1.0653105609865368</v>
      </c>
      <c r="F398" s="5">
        <f t="shared" ca="1" si="23"/>
        <v>-1.6763042753886914</v>
      </c>
    </row>
    <row r="399" spans="2:6" x14ac:dyDescent="0.45">
      <c r="B399" s="5">
        <v>391</v>
      </c>
      <c r="C399" s="9"/>
      <c r="D399" s="9"/>
      <c r="E399" s="1">
        <f t="shared" ca="1" si="22"/>
        <v>0.32141960483856602</v>
      </c>
      <c r="F399" s="5">
        <f t="shared" ca="1" si="23"/>
        <v>-2.5865219816940614</v>
      </c>
    </row>
    <row r="400" spans="2:6" x14ac:dyDescent="0.45">
      <c r="B400" s="5">
        <v>392</v>
      </c>
      <c r="C400" s="9"/>
      <c r="D400" s="9"/>
      <c r="E400" s="1">
        <f t="shared" ca="1" si="22"/>
        <v>0.50446606870301935</v>
      </c>
      <c r="F400" s="5">
        <f t="shared" ca="1" si="23"/>
        <v>-2.1474588900093949</v>
      </c>
    </row>
    <row r="401" spans="2:6" x14ac:dyDescent="0.45">
      <c r="B401" s="5">
        <v>393</v>
      </c>
      <c r="C401" s="9"/>
      <c r="D401" s="9"/>
      <c r="E401" s="1">
        <f t="shared" ca="1" si="22"/>
        <v>0.23967315052779936</v>
      </c>
      <c r="F401" s="5">
        <f t="shared" ca="1" si="23"/>
        <v>-2.6143089639913946</v>
      </c>
    </row>
    <row r="402" spans="2:6" x14ac:dyDescent="0.45">
      <c r="B402" s="5">
        <v>394</v>
      </c>
      <c r="C402" s="9">
        <f>394+66</f>
        <v>460</v>
      </c>
      <c r="D402" s="9"/>
      <c r="E402" s="1">
        <f t="shared" ref="E402" ca="1" si="24">E73+2*COS(8*PI()/6)</f>
        <v>-1.1790834380047053</v>
      </c>
      <c r="F402" s="5">
        <f t="shared" ref="F402" ca="1" si="25">F73+2*SIN(8*PI()/6)</f>
        <v>-0.37180462027017991</v>
      </c>
    </row>
    <row r="403" spans="2:6" x14ac:dyDescent="0.45">
      <c r="B403" s="5">
        <v>395</v>
      </c>
      <c r="C403" s="9"/>
      <c r="D403" s="9"/>
      <c r="E403" s="1">
        <f ca="1">E8+2*COS(10*PI()/6)</f>
        <v>0.55223411234476538</v>
      </c>
      <c r="F403" s="5">
        <f ca="1">F8+2*SIN(10*PI()/6)</f>
        <v>-1.3768799474450613</v>
      </c>
    </row>
    <row r="404" spans="2:6" x14ac:dyDescent="0.45">
      <c r="B404" s="5">
        <v>396</v>
      </c>
      <c r="C404" s="9"/>
      <c r="D404" s="9"/>
      <c r="E404" s="1">
        <f t="shared" ref="E404:E467" ca="1" si="26">E9+2*COS(10*PI()/6)</f>
        <v>1.8945340475530665</v>
      </c>
      <c r="F404" s="5">
        <f t="shared" ref="F404:F467" ca="1" si="27">F9+2*SIN(10*PI()/6)</f>
        <v>-2.7121688056501783</v>
      </c>
    </row>
    <row r="405" spans="2:6" x14ac:dyDescent="0.45">
      <c r="B405" s="5">
        <v>397</v>
      </c>
      <c r="C405" s="9"/>
      <c r="D405" s="9"/>
      <c r="E405" s="1">
        <f t="shared" ca="1" si="26"/>
        <v>1.0988831711674896</v>
      </c>
      <c r="F405" s="5">
        <f t="shared" ca="1" si="27"/>
        <v>-1.4951794749342124</v>
      </c>
    </row>
    <row r="406" spans="2:6" x14ac:dyDescent="0.45">
      <c r="B406" s="5">
        <v>398</v>
      </c>
      <c r="C406" s="9"/>
      <c r="D406" s="9"/>
      <c r="E406" s="1">
        <f t="shared" ca="1" si="26"/>
        <v>0.67354725083161293</v>
      </c>
      <c r="F406" s="5">
        <f t="shared" ca="1" si="27"/>
        <v>-0.86170616745112094</v>
      </c>
    </row>
    <row r="407" spans="2:6" x14ac:dyDescent="0.45">
      <c r="B407" s="5">
        <v>399</v>
      </c>
      <c r="C407" s="9"/>
      <c r="D407" s="9"/>
      <c r="E407" s="1">
        <f t="shared" ca="1" si="26"/>
        <v>0.71960764341885297</v>
      </c>
      <c r="F407" s="5">
        <f t="shared" ca="1" si="27"/>
        <v>-2.7635670073607126</v>
      </c>
    </row>
    <row r="408" spans="2:6" x14ac:dyDescent="0.45">
      <c r="B408" s="5">
        <v>400</v>
      </c>
      <c r="C408" s="9"/>
      <c r="D408" s="9"/>
      <c r="E408" s="1">
        <f t="shared" ca="1" si="26"/>
        <v>1.2076276185299921</v>
      </c>
      <c r="F408" s="5">
        <f t="shared" ca="1" si="27"/>
        <v>-2.490233986582334</v>
      </c>
    </row>
    <row r="409" spans="2:6" x14ac:dyDescent="0.45">
      <c r="B409" s="5">
        <v>401</v>
      </c>
      <c r="C409" s="9"/>
      <c r="D409" s="9"/>
      <c r="E409" s="1">
        <f t="shared" ca="1" si="26"/>
        <v>0.91906680646580508</v>
      </c>
      <c r="F409" s="5">
        <f t="shared" ca="1" si="27"/>
        <v>-1.7607381464285374</v>
      </c>
    </row>
    <row r="410" spans="2:6" x14ac:dyDescent="0.45">
      <c r="B410" s="5">
        <v>402</v>
      </c>
      <c r="C410" s="9"/>
      <c r="D410" s="9"/>
      <c r="E410" s="1">
        <f t="shared" ca="1" si="26"/>
        <v>2.4007035460132098</v>
      </c>
      <c r="F410" s="5">
        <f t="shared" ca="1" si="27"/>
        <v>-1.0149034477824759</v>
      </c>
    </row>
    <row r="411" spans="2:6" x14ac:dyDescent="0.45">
      <c r="B411" s="5">
        <v>403</v>
      </c>
      <c r="C411" s="9"/>
      <c r="D411" s="9"/>
      <c r="E411" s="1">
        <f t="shared" ca="1" si="26"/>
        <v>2.1119869866823788</v>
      </c>
      <c r="F411" s="5">
        <f t="shared" ca="1" si="27"/>
        <v>-0.63684901416061557</v>
      </c>
    </row>
    <row r="412" spans="2:6" x14ac:dyDescent="0.45">
      <c r="B412" s="5">
        <v>404</v>
      </c>
      <c r="C412" s="9"/>
      <c r="D412" s="9"/>
      <c r="E412" s="1">
        <f t="shared" ca="1" si="26"/>
        <v>2.3838945514218253</v>
      </c>
      <c r="F412" s="5">
        <f t="shared" ca="1" si="27"/>
        <v>-1.0995914450335698</v>
      </c>
    </row>
    <row r="413" spans="2:6" x14ac:dyDescent="0.45">
      <c r="B413" s="5">
        <v>405</v>
      </c>
      <c r="C413" s="9"/>
      <c r="D413" s="9"/>
      <c r="E413" s="1">
        <f t="shared" ca="1" si="26"/>
        <v>-0.2675494726039489</v>
      </c>
      <c r="F413" s="5">
        <f t="shared" ca="1" si="27"/>
        <v>-1.2070185206286592</v>
      </c>
    </row>
    <row r="414" spans="2:6" x14ac:dyDescent="0.45">
      <c r="B414" s="5">
        <v>406</v>
      </c>
      <c r="C414" s="9"/>
      <c r="D414" s="9"/>
      <c r="E414" s="1">
        <f t="shared" ca="1" si="26"/>
        <v>0.46853006862118873</v>
      </c>
      <c r="F414" s="5">
        <f t="shared" ca="1" si="27"/>
        <v>-1.9422420111644916</v>
      </c>
    </row>
    <row r="415" spans="2:6" x14ac:dyDescent="0.45">
      <c r="B415" s="5">
        <v>407</v>
      </c>
      <c r="C415" s="9"/>
      <c r="D415" s="9"/>
      <c r="E415" s="1">
        <f t="shared" ca="1" si="26"/>
        <v>2.2960741088212879</v>
      </c>
      <c r="F415" s="5">
        <f t="shared" ca="1" si="27"/>
        <v>-1.4474205968784555</v>
      </c>
    </row>
    <row r="416" spans="2:6" x14ac:dyDescent="0.45">
      <c r="B416" s="5">
        <v>408</v>
      </c>
      <c r="C416" s="9"/>
      <c r="D416" s="9"/>
      <c r="E416" s="1">
        <f t="shared" ca="1" si="26"/>
        <v>0.84430499409385129</v>
      </c>
      <c r="F416" s="5">
        <f t="shared" ca="1" si="27"/>
        <v>-1.5279798030137342</v>
      </c>
    </row>
    <row r="417" spans="2:6" x14ac:dyDescent="0.45">
      <c r="B417" s="5">
        <v>409</v>
      </c>
      <c r="C417" s="9"/>
      <c r="D417" s="9"/>
      <c r="E417" s="1">
        <f t="shared" ca="1" si="26"/>
        <v>8.3033057026204782E-2</v>
      </c>
      <c r="F417" s="5">
        <f t="shared" ca="1" si="27"/>
        <v>-1.5795948614250916</v>
      </c>
    </row>
    <row r="418" spans="2:6" x14ac:dyDescent="0.45">
      <c r="B418" s="5">
        <v>410</v>
      </c>
      <c r="C418" s="9"/>
      <c r="D418" s="9"/>
      <c r="E418" s="1">
        <f t="shared" ca="1" si="26"/>
        <v>1.7531230551443404</v>
      </c>
      <c r="F418" s="5">
        <f t="shared" ca="1" si="27"/>
        <v>-2.4906358112910532</v>
      </c>
    </row>
    <row r="419" spans="2:6" x14ac:dyDescent="0.45">
      <c r="B419" s="5">
        <v>411</v>
      </c>
      <c r="C419" s="9"/>
      <c r="D419" s="9"/>
      <c r="E419" s="1">
        <f t="shared" ca="1" si="26"/>
        <v>1.7604197030126945</v>
      </c>
      <c r="F419" s="5">
        <f t="shared" ca="1" si="27"/>
        <v>-1.9313316049013682</v>
      </c>
    </row>
    <row r="420" spans="2:6" x14ac:dyDescent="0.45">
      <c r="B420" s="5">
        <v>412</v>
      </c>
      <c r="C420" s="9"/>
      <c r="D420" s="9"/>
      <c r="E420" s="1">
        <f t="shared" ca="1" si="26"/>
        <v>0.98437736745234095</v>
      </c>
      <c r="F420" s="5">
        <f t="shared" ca="1" si="27"/>
        <v>-1.8164846786087228</v>
      </c>
    </row>
    <row r="421" spans="2:6" x14ac:dyDescent="0.45">
      <c r="B421" s="5">
        <v>413</v>
      </c>
      <c r="C421" s="9"/>
      <c r="D421" s="9"/>
      <c r="E421" s="1">
        <f t="shared" ca="1" si="26"/>
        <v>1.0792839411746429</v>
      </c>
      <c r="F421" s="5">
        <f t="shared" ca="1" si="27"/>
        <v>-0.16043227365729162</v>
      </c>
    </row>
    <row r="422" spans="2:6" x14ac:dyDescent="0.45">
      <c r="B422" s="5">
        <v>414</v>
      </c>
      <c r="C422" s="9"/>
      <c r="D422" s="9"/>
      <c r="E422" s="1">
        <f t="shared" ca="1" si="26"/>
        <v>0.60752091797935859</v>
      </c>
      <c r="F422" s="5">
        <f t="shared" ca="1" si="27"/>
        <v>-0.22144093172009827</v>
      </c>
    </row>
    <row r="423" spans="2:6" x14ac:dyDescent="0.45">
      <c r="B423" s="5">
        <v>415</v>
      </c>
      <c r="C423" s="9"/>
      <c r="D423" s="9"/>
      <c r="E423" s="1">
        <f t="shared" ca="1" si="26"/>
        <v>1.1442214008940246</v>
      </c>
      <c r="F423" s="5">
        <f t="shared" ca="1" si="27"/>
        <v>-0.21733328861105283</v>
      </c>
    </row>
    <row r="424" spans="2:6" x14ac:dyDescent="0.45">
      <c r="B424" s="5">
        <v>416</v>
      </c>
      <c r="C424" s="9"/>
      <c r="D424" s="9"/>
      <c r="E424" s="1">
        <f t="shared" ca="1" si="26"/>
        <v>-8.846603459924407E-2</v>
      </c>
      <c r="F424" s="5">
        <f t="shared" ca="1" si="27"/>
        <v>-2.5672647079273556</v>
      </c>
    </row>
    <row r="425" spans="2:6" x14ac:dyDescent="0.45">
      <c r="B425" s="5">
        <v>417</v>
      </c>
      <c r="C425" s="9"/>
      <c r="D425" s="9"/>
      <c r="E425" s="1">
        <f t="shared" ca="1" si="26"/>
        <v>0.91629595627642346</v>
      </c>
      <c r="F425" s="5">
        <f t="shared" ca="1" si="27"/>
        <v>-2.2974128712883077</v>
      </c>
    </row>
    <row r="426" spans="2:6" x14ac:dyDescent="0.45">
      <c r="B426" s="5">
        <v>418</v>
      </c>
      <c r="C426" s="9"/>
      <c r="D426" s="9"/>
      <c r="E426" s="1">
        <f t="shared" ca="1" si="26"/>
        <v>1.4015400612682218</v>
      </c>
      <c r="F426" s="5">
        <f t="shared" ca="1" si="27"/>
        <v>-0.46730259879715441</v>
      </c>
    </row>
    <row r="427" spans="2:6" x14ac:dyDescent="0.45">
      <c r="B427" s="5">
        <v>419</v>
      </c>
      <c r="C427" s="9"/>
      <c r="D427" s="9"/>
      <c r="E427" s="1">
        <f t="shared" ca="1" si="26"/>
        <v>0.74542182292636194</v>
      </c>
      <c r="F427" s="5">
        <f t="shared" ca="1" si="27"/>
        <v>-1.7648511356483989</v>
      </c>
    </row>
    <row r="428" spans="2:6" x14ac:dyDescent="0.45">
      <c r="B428" s="5">
        <v>420</v>
      </c>
      <c r="C428" s="9"/>
      <c r="D428" s="9"/>
      <c r="E428" s="1">
        <f t="shared" ca="1" si="26"/>
        <v>0.40948580619459185</v>
      </c>
      <c r="F428" s="5">
        <f t="shared" ca="1" si="27"/>
        <v>-2.4499395015428478</v>
      </c>
    </row>
    <row r="429" spans="2:6" x14ac:dyDescent="0.45">
      <c r="B429" s="5">
        <v>421</v>
      </c>
      <c r="C429" s="9"/>
      <c r="D429" s="9"/>
      <c r="E429" s="1">
        <f t="shared" ca="1" si="26"/>
        <v>2.0335154117254879</v>
      </c>
      <c r="F429" s="5">
        <f t="shared" ca="1" si="27"/>
        <v>-1.4591196114992182</v>
      </c>
    </row>
    <row r="430" spans="2:6" x14ac:dyDescent="0.45">
      <c r="B430" s="5">
        <v>422</v>
      </c>
      <c r="C430" s="9"/>
      <c r="D430" s="9"/>
      <c r="E430" s="1">
        <f t="shared" ca="1" si="26"/>
        <v>1.5527920844827028</v>
      </c>
      <c r="F430" s="5">
        <f t="shared" ca="1" si="27"/>
        <v>-1.1731484258879112</v>
      </c>
    </row>
    <row r="431" spans="2:6" x14ac:dyDescent="0.45">
      <c r="B431" s="5">
        <v>423</v>
      </c>
      <c r="C431" s="9"/>
      <c r="D431" s="9"/>
      <c r="E431" s="1">
        <f t="shared" ca="1" si="26"/>
        <v>1.0653105609865361</v>
      </c>
      <c r="F431" s="5">
        <f t="shared" ca="1" si="27"/>
        <v>-1.7877973397490625</v>
      </c>
    </row>
    <row r="432" spans="2:6" x14ac:dyDescent="0.45">
      <c r="B432" s="5">
        <v>424</v>
      </c>
      <c r="C432" s="9"/>
      <c r="D432" s="9"/>
      <c r="E432" s="1">
        <f t="shared" ca="1" si="26"/>
        <v>-0.32141960483856691</v>
      </c>
      <c r="F432" s="5">
        <f t="shared" ca="1" si="27"/>
        <v>-0.87757963344369272</v>
      </c>
    </row>
    <row r="433" spans="2:6" x14ac:dyDescent="0.45">
      <c r="B433" s="5">
        <v>425</v>
      </c>
      <c r="C433" s="9"/>
      <c r="D433" s="9"/>
      <c r="E433" s="1">
        <f t="shared" ca="1" si="26"/>
        <v>-0.50446606870302002</v>
      </c>
      <c r="F433" s="5">
        <f t="shared" ca="1" si="27"/>
        <v>-1.3166427251283594</v>
      </c>
    </row>
    <row r="434" spans="2:6" x14ac:dyDescent="0.45">
      <c r="B434" s="5">
        <v>426</v>
      </c>
      <c r="C434" s="9"/>
      <c r="D434" s="9"/>
      <c r="E434" s="1">
        <f t="shared" ca="1" si="26"/>
        <v>-0.23967315052780047</v>
      </c>
      <c r="F434" s="5">
        <f t="shared" ca="1" si="27"/>
        <v>-0.84979265114636005</v>
      </c>
    </row>
    <row r="435" spans="2:6" x14ac:dyDescent="0.45">
      <c r="B435" s="5">
        <v>427</v>
      </c>
      <c r="C435" s="9"/>
      <c r="D435" s="9"/>
      <c r="E435" s="1">
        <f t="shared" ca="1" si="26"/>
        <v>1.1790834380047048</v>
      </c>
      <c r="F435" s="5">
        <f t="shared" ca="1" si="27"/>
        <v>-3.0922969948675738</v>
      </c>
    </row>
    <row r="436" spans="2:6" x14ac:dyDescent="0.45">
      <c r="B436" s="5">
        <v>428</v>
      </c>
      <c r="C436" s="9"/>
      <c r="D436" s="9"/>
      <c r="E436" s="1">
        <f t="shared" ca="1" si="26"/>
        <v>1.4477658876552351</v>
      </c>
      <c r="F436" s="5">
        <f t="shared" ca="1" si="27"/>
        <v>-2.0872216676926931</v>
      </c>
    </row>
    <row r="437" spans="2:6" x14ac:dyDescent="0.45">
      <c r="B437" s="5">
        <v>429</v>
      </c>
      <c r="C437" s="9"/>
      <c r="D437" s="9"/>
      <c r="E437" s="1">
        <f t="shared" ca="1" si="26"/>
        <v>0.10546595244693446</v>
      </c>
      <c r="F437" s="5">
        <f t="shared" ca="1" si="27"/>
        <v>-0.7519328094875759</v>
      </c>
    </row>
    <row r="438" spans="2:6" x14ac:dyDescent="0.45">
      <c r="B438" s="5">
        <v>430</v>
      </c>
      <c r="C438" s="9"/>
      <c r="D438" s="9"/>
      <c r="E438" s="1">
        <f t="shared" ca="1" si="26"/>
        <v>0.90111682883251076</v>
      </c>
      <c r="F438" s="5">
        <f t="shared" ca="1" si="27"/>
        <v>-1.9689221402035419</v>
      </c>
    </row>
    <row r="439" spans="2:6" x14ac:dyDescent="0.45">
      <c r="B439" s="5">
        <v>431</v>
      </c>
      <c r="C439" s="9"/>
      <c r="D439" s="9"/>
      <c r="E439" s="1">
        <f t="shared" ca="1" si="26"/>
        <v>1.3264527491683873</v>
      </c>
      <c r="F439" s="5">
        <f t="shared" ca="1" si="27"/>
        <v>-2.6023954476866336</v>
      </c>
    </row>
    <row r="440" spans="2:6" x14ac:dyDescent="0.45">
      <c r="B440" s="5">
        <v>432</v>
      </c>
      <c r="C440" s="9"/>
      <c r="D440" s="9"/>
      <c r="E440" s="1">
        <f t="shared" ca="1" si="26"/>
        <v>1.2803923565811479</v>
      </c>
      <c r="F440" s="5">
        <f t="shared" ca="1" si="27"/>
        <v>-0.7005346077770418</v>
      </c>
    </row>
    <row r="441" spans="2:6" x14ac:dyDescent="0.45">
      <c r="B441" s="5">
        <v>433</v>
      </c>
      <c r="C441" s="9"/>
      <c r="D441" s="9"/>
      <c r="E441" s="1">
        <f t="shared" ca="1" si="26"/>
        <v>0.79237238147000866</v>
      </c>
      <c r="F441" s="5">
        <f t="shared" ca="1" si="27"/>
        <v>-0.97386762855542008</v>
      </c>
    </row>
    <row r="442" spans="2:6" x14ac:dyDescent="0.45">
      <c r="B442" s="5">
        <v>434</v>
      </c>
      <c r="C442" s="9"/>
      <c r="D442" s="9"/>
      <c r="E442" s="1">
        <f t="shared" ca="1" si="26"/>
        <v>1.0809331935341955</v>
      </c>
      <c r="F442" s="5">
        <f t="shared" ca="1" si="27"/>
        <v>-1.703363468709217</v>
      </c>
    </row>
    <row r="443" spans="2:6" x14ac:dyDescent="0.45">
      <c r="B443" s="5">
        <v>435</v>
      </c>
      <c r="C443" s="9"/>
      <c r="D443" s="9"/>
      <c r="E443" s="1">
        <f t="shared" ca="1" si="26"/>
        <v>-0.40070354601320957</v>
      </c>
      <c r="F443" s="5">
        <f t="shared" ca="1" si="27"/>
        <v>-2.4491981673552781</v>
      </c>
    </row>
    <row r="444" spans="2:6" x14ac:dyDescent="0.45">
      <c r="B444" s="5">
        <v>436</v>
      </c>
      <c r="C444" s="9"/>
      <c r="D444" s="9"/>
      <c r="E444" s="1">
        <f t="shared" ca="1" si="26"/>
        <v>-0.11198698668237883</v>
      </c>
      <c r="F444" s="5">
        <f t="shared" ca="1" si="27"/>
        <v>-2.8272526009771384</v>
      </c>
    </row>
    <row r="445" spans="2:6" x14ac:dyDescent="0.45">
      <c r="B445" s="5">
        <v>437</v>
      </c>
      <c r="C445" s="9"/>
      <c r="D445" s="9"/>
      <c r="E445" s="1">
        <f t="shared" ca="1" si="26"/>
        <v>-0.38389455142182505</v>
      </c>
      <c r="F445" s="5">
        <f t="shared" ca="1" si="27"/>
        <v>-2.3645101701041842</v>
      </c>
    </row>
    <row r="446" spans="2:6" x14ac:dyDescent="0.45">
      <c r="B446" s="5">
        <v>438</v>
      </c>
      <c r="C446" s="9"/>
      <c r="D446" s="9"/>
      <c r="E446" s="1">
        <f t="shared" ca="1" si="26"/>
        <v>2.2675494726039496</v>
      </c>
      <c r="F446" s="5">
        <f t="shared" ca="1" si="27"/>
        <v>-2.2570830945090958</v>
      </c>
    </row>
    <row r="447" spans="2:6" x14ac:dyDescent="0.45">
      <c r="B447" s="5">
        <v>439</v>
      </c>
      <c r="C447" s="9"/>
      <c r="D447" s="9"/>
      <c r="E447" s="1">
        <f t="shared" ca="1" si="26"/>
        <v>1.5314699313788118</v>
      </c>
      <c r="F447" s="5">
        <f t="shared" ca="1" si="27"/>
        <v>-1.521859603973263</v>
      </c>
    </row>
    <row r="448" spans="2:6" x14ac:dyDescent="0.45">
      <c r="B448" s="5">
        <v>440</v>
      </c>
      <c r="C448" s="9"/>
      <c r="D448" s="9"/>
      <c r="E448" s="1">
        <f t="shared" ca="1" si="26"/>
        <v>-0.29607410882128726</v>
      </c>
      <c r="F448" s="5">
        <f t="shared" ca="1" si="27"/>
        <v>-2.0166810182592982</v>
      </c>
    </row>
    <row r="449" spans="2:6" x14ac:dyDescent="0.45">
      <c r="B449" s="5">
        <v>441</v>
      </c>
      <c r="C449" s="9"/>
      <c r="D449" s="9"/>
      <c r="E449" s="1">
        <f t="shared" ca="1" si="26"/>
        <v>1.155695005906149</v>
      </c>
      <c r="F449" s="5">
        <f t="shared" ca="1" si="27"/>
        <v>-1.9361218121240205</v>
      </c>
    </row>
    <row r="450" spans="2:6" x14ac:dyDescent="0.45">
      <c r="B450" s="5">
        <v>442</v>
      </c>
      <c r="C450" s="9"/>
      <c r="D450" s="9"/>
      <c r="E450" s="1">
        <f t="shared" ca="1" si="26"/>
        <v>1.9169669429737957</v>
      </c>
      <c r="F450" s="5">
        <f t="shared" ca="1" si="27"/>
        <v>-1.8845067537126632</v>
      </c>
    </row>
    <row r="451" spans="2:6" x14ac:dyDescent="0.45">
      <c r="B451" s="5">
        <v>443</v>
      </c>
      <c r="C451" s="9"/>
      <c r="D451" s="9"/>
      <c r="E451" s="1">
        <f t="shared" ca="1" si="26"/>
        <v>0.24687694485566025</v>
      </c>
      <c r="F451" s="5">
        <f t="shared" ca="1" si="27"/>
        <v>-0.97346580384670056</v>
      </c>
    </row>
    <row r="452" spans="2:6" x14ac:dyDescent="0.45">
      <c r="B452" s="5">
        <v>444</v>
      </c>
      <c r="C452" s="9"/>
      <c r="D452" s="9"/>
      <c r="E452" s="1">
        <f t="shared" ca="1" si="26"/>
        <v>0.23958029698730587</v>
      </c>
      <c r="F452" s="5">
        <f t="shared" ca="1" si="27"/>
        <v>-1.5327700102363859</v>
      </c>
    </row>
    <row r="453" spans="2:6" x14ac:dyDescent="0.45">
      <c r="B453" s="5">
        <v>445</v>
      </c>
      <c r="C453" s="9"/>
      <c r="D453" s="9"/>
      <c r="E453" s="1">
        <f t="shared" ca="1" si="26"/>
        <v>1.0156226325476596</v>
      </c>
      <c r="F453" s="5">
        <f t="shared" ca="1" si="27"/>
        <v>-1.6476169365290316</v>
      </c>
    </row>
    <row r="454" spans="2:6" x14ac:dyDescent="0.45">
      <c r="B454" s="5">
        <v>446</v>
      </c>
      <c r="C454" s="9"/>
      <c r="D454" s="9"/>
      <c r="E454" s="1">
        <f t="shared" ca="1" si="26"/>
        <v>0.92071605882535734</v>
      </c>
      <c r="F454" s="5">
        <f t="shared" ca="1" si="27"/>
        <v>-3.3036693414804628</v>
      </c>
    </row>
    <row r="455" spans="2:6" x14ac:dyDescent="0.45">
      <c r="B455" s="5">
        <v>447</v>
      </c>
      <c r="C455" s="9"/>
      <c r="D455" s="9"/>
      <c r="E455" s="1">
        <f t="shared" ca="1" si="26"/>
        <v>1.3924790820206412</v>
      </c>
      <c r="F455" s="5">
        <f t="shared" ca="1" si="27"/>
        <v>-3.2426606834176566</v>
      </c>
    </row>
    <row r="456" spans="2:6" x14ac:dyDescent="0.45">
      <c r="B456" s="5">
        <v>448</v>
      </c>
      <c r="C456" s="9"/>
      <c r="D456" s="9"/>
      <c r="E456" s="1">
        <f t="shared" ca="1" si="26"/>
        <v>0.85577859910597531</v>
      </c>
      <c r="F456" s="5">
        <f t="shared" ca="1" si="27"/>
        <v>-3.2467683265267011</v>
      </c>
    </row>
    <row r="457" spans="2:6" x14ac:dyDescent="0.45">
      <c r="B457" s="5">
        <v>449</v>
      </c>
      <c r="C457" s="9"/>
      <c r="D457" s="9"/>
      <c r="E457" s="1">
        <f t="shared" ca="1" si="26"/>
        <v>2.0884660345992447</v>
      </c>
      <c r="F457" s="5">
        <f t="shared" ca="1" si="27"/>
        <v>-0.89683690721039899</v>
      </c>
    </row>
    <row r="458" spans="2:6" x14ac:dyDescent="0.45">
      <c r="B458" s="5">
        <v>450</v>
      </c>
      <c r="C458" s="9"/>
      <c r="D458" s="9"/>
      <c r="E458" s="1">
        <f t="shared" ca="1" si="26"/>
        <v>1.0837040437235772</v>
      </c>
      <c r="F458" s="5">
        <f t="shared" ca="1" si="27"/>
        <v>-1.1666887438494469</v>
      </c>
    </row>
    <row r="459" spans="2:6" x14ac:dyDescent="0.45">
      <c r="B459" s="5">
        <v>451</v>
      </c>
      <c r="C459" s="9"/>
      <c r="D459" s="9"/>
      <c r="E459" s="1">
        <f t="shared" ca="1" si="26"/>
        <v>0.59845993873177816</v>
      </c>
      <c r="F459" s="5">
        <f t="shared" ca="1" si="27"/>
        <v>-2.9967990163405993</v>
      </c>
    </row>
    <row r="460" spans="2:6" x14ac:dyDescent="0.45">
      <c r="B460" s="5">
        <v>452</v>
      </c>
      <c r="C460" s="9"/>
      <c r="D460" s="9"/>
      <c r="E460" s="1">
        <f t="shared" ca="1" si="26"/>
        <v>1.2545781770736384</v>
      </c>
      <c r="F460" s="5">
        <f t="shared" ca="1" si="27"/>
        <v>-1.6992504794893557</v>
      </c>
    </row>
    <row r="461" spans="2:6" x14ac:dyDescent="0.45">
      <c r="B461" s="5">
        <v>453</v>
      </c>
      <c r="C461" s="9"/>
      <c r="D461" s="9"/>
      <c r="E461" s="1">
        <f t="shared" ca="1" si="26"/>
        <v>1.5905141938054088</v>
      </c>
      <c r="F461" s="5">
        <f t="shared" ca="1" si="27"/>
        <v>-1.0141621135949066</v>
      </c>
    </row>
    <row r="462" spans="2:6" x14ac:dyDescent="0.45">
      <c r="B462" s="5">
        <v>454</v>
      </c>
      <c r="C462" s="9"/>
      <c r="D462" s="9"/>
      <c r="E462" s="1">
        <f t="shared" ca="1" si="26"/>
        <v>-3.3515411725487665E-2</v>
      </c>
      <c r="F462" s="5">
        <f t="shared" ca="1" si="27"/>
        <v>-2.0049820036385357</v>
      </c>
    </row>
    <row r="463" spans="2:6" x14ac:dyDescent="0.45">
      <c r="B463" s="5">
        <v>455</v>
      </c>
      <c r="C463" s="9"/>
      <c r="D463" s="9"/>
      <c r="E463" s="1">
        <f t="shared" ca="1" si="26"/>
        <v>0.44720791551729722</v>
      </c>
      <c r="F463" s="5">
        <f t="shared" ca="1" si="27"/>
        <v>-2.2909531892498429</v>
      </c>
    </row>
    <row r="464" spans="2:6" x14ac:dyDescent="0.45">
      <c r="B464" s="5">
        <v>456</v>
      </c>
      <c r="C464" s="9"/>
      <c r="D464" s="9"/>
      <c r="E464" s="1">
        <f t="shared" ca="1" si="26"/>
        <v>0.93468943901346435</v>
      </c>
      <c r="F464" s="5">
        <f t="shared" ca="1" si="27"/>
        <v>-1.6763042753886919</v>
      </c>
    </row>
    <row r="465" spans="2:6" x14ac:dyDescent="0.45">
      <c r="B465" s="5">
        <v>457</v>
      </c>
      <c r="C465" s="9"/>
      <c r="D465" s="9"/>
      <c r="E465" s="1">
        <f t="shared" ca="1" si="26"/>
        <v>2.3214196048385674</v>
      </c>
      <c r="F465" s="5">
        <f t="shared" ca="1" si="27"/>
        <v>-2.5865219816940619</v>
      </c>
    </row>
    <row r="466" spans="2:6" x14ac:dyDescent="0.45">
      <c r="B466" s="5">
        <v>458</v>
      </c>
      <c r="C466" s="9"/>
      <c r="D466" s="9"/>
      <c r="E466" s="1">
        <f t="shared" ca="1" si="26"/>
        <v>2.5044660687030205</v>
      </c>
      <c r="F466" s="5">
        <f t="shared" ca="1" si="27"/>
        <v>-2.1474588900093954</v>
      </c>
    </row>
    <row r="467" spans="2:6" x14ac:dyDescent="0.45">
      <c r="B467" s="5">
        <v>459</v>
      </c>
      <c r="C467" s="9"/>
      <c r="D467" s="9"/>
      <c r="E467" s="1">
        <f t="shared" ca="1" si="26"/>
        <v>2.2396731505278007</v>
      </c>
      <c r="F467" s="5">
        <f t="shared" ca="1" si="27"/>
        <v>-2.6143089639913946</v>
      </c>
    </row>
    <row r="468" spans="2:6" ht="18.600000000000001" thickBot="1" x14ac:dyDescent="0.5">
      <c r="B468" s="6">
        <v>460</v>
      </c>
      <c r="C468" s="29">
        <f>460+66</f>
        <v>526</v>
      </c>
      <c r="D468" s="29"/>
      <c r="E468" s="2">
        <f t="shared" ref="E468" ca="1" si="28">E73+2*COS(10*PI()/6)</f>
        <v>0.82091656199529572</v>
      </c>
      <c r="F468" s="6">
        <f t="shared" ref="F468" ca="1" si="29">F73+2*SIN(10*PI()/6)</f>
        <v>-0.37180462027018035</v>
      </c>
    </row>
    <row r="469" spans="2:6" x14ac:dyDescent="0.45">
      <c r="E469" s="24">
        <f ca="1">MAX(E8:E468)</f>
        <v>3.50446606870302</v>
      </c>
      <c r="F469" s="35">
        <f ca="1">E469</f>
        <v>3.50446606870302</v>
      </c>
    </row>
    <row r="470" spans="2:6" x14ac:dyDescent="0.45">
      <c r="E470" s="24">
        <f ca="1">-E469</f>
        <v>-3.50446606870302</v>
      </c>
      <c r="F470" s="35">
        <f ca="1">F469</f>
        <v>3.50446606870302</v>
      </c>
    </row>
    <row r="471" spans="2:6" x14ac:dyDescent="0.45">
      <c r="E471" s="24">
        <f ca="1">E470</f>
        <v>-3.50446606870302</v>
      </c>
      <c r="F471" s="35">
        <f ca="1">-F470</f>
        <v>-3.50446606870302</v>
      </c>
    </row>
    <row r="472" spans="2:6" ht="18.600000000000001" thickBot="1" x14ac:dyDescent="0.5">
      <c r="E472" s="25">
        <f ca="1">E469</f>
        <v>3.50446606870302</v>
      </c>
      <c r="F472" s="36">
        <f ca="1">F471</f>
        <v>-3.50446606870302</v>
      </c>
    </row>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【演習問題１】形を描く</vt:lpstr>
      <vt:lpstr>（解答）【演習問題１】形を描く </vt:lpstr>
      <vt:lpstr>【演習問題２】タイリング</vt:lpstr>
      <vt:lpstr>（解答）【演習問題２】タイリング</vt:lpstr>
      <vt:lpstr>【演習問題３】万華鏡</vt:lpstr>
      <vt:lpstr>（解答）【演習問題３】万華鏡</vt:lpstr>
      <vt:lpstr>【付録】エッシャー化</vt:lpstr>
      <vt:lpstr>【付録】万華鏡</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k.okamoto</dc:creator>
  <cp:lastModifiedBy>k.okamoto</cp:lastModifiedBy>
  <dcterms:created xsi:type="dcterms:W3CDTF">2020-11-06T08:34:09Z</dcterms:created>
  <dcterms:modified xsi:type="dcterms:W3CDTF">2020-11-07T15:04:49Z</dcterms:modified>
</cp:coreProperties>
</file>